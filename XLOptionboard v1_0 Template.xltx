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\OneDrive\Documents\GitHub\POWMax_Tonka_Prdtn\"/>
    </mc:Choice>
  </mc:AlternateContent>
  <xr:revisionPtr revIDLastSave="0" documentId="13_ncr:1_{FAB0C9F9-046D-44AD-AFB1-6507CACBD452}" xr6:coauthVersionLast="47" xr6:coauthVersionMax="47" xr10:uidLastSave="{00000000-0000-0000-0000-000000000000}"/>
  <bookViews>
    <workbookView xWindow="-110" yWindow="-110" windowWidth="19420" windowHeight="10300" activeTab="1" xr2:uid="{8AA67D6B-52A0-4197-BA91-5CD5F3550247}"/>
  </bookViews>
  <sheets>
    <sheet name="Notes" sheetId="7" r:id="rId1"/>
    <sheet name="Dashboard" sheetId="1" r:id="rId2"/>
    <sheet name="Put_STO" sheetId="2" r:id="rId3"/>
    <sheet name="Call_STO" sheetId="6" r:id="rId4"/>
    <sheet name="Put_BTC" sheetId="3" r:id="rId5"/>
    <sheet name="Call_BTC" sheetId="4" r:id="rId6"/>
  </sheets>
  <definedNames>
    <definedName name="At_Risk">Dashboard!$E$6</definedName>
    <definedName name="Call_Root">Dashboard!$E$11</definedName>
    <definedName name="Calls">Dashboard!$E$14</definedName>
    <definedName name="Cash_At_Risk">Dashboard!$E$8</definedName>
    <definedName name="CashFlow">Dashboard!$E$18:$E$18</definedName>
    <definedName name="Close_Action">Dashboard!$E$21</definedName>
    <definedName name="Expiry_Spread">Dashboard!$E$9</definedName>
    <definedName name="ExternalData_1" localSheetId="4" hidden="1">Put_BTC!$A$7:$G$11</definedName>
    <definedName name="ExternalData_1" localSheetId="2" hidden="1">Put_STO!$A$7:$D$8</definedName>
    <definedName name="ExternalData_2" localSheetId="4" hidden="1">Put_BTC!$I$7:$O$12</definedName>
    <definedName name="ExternalData_2" localSheetId="2" hidden="1">Put_STO!$F$7:$K$14</definedName>
    <definedName name="ExternalData_3" localSheetId="4" hidden="1">Put_BTC!$Q$7:$W$12</definedName>
    <definedName name="ExternalData_3" localSheetId="2" hidden="1">Put_STO!$M$7:$T$17</definedName>
    <definedName name="ExternalData_4" localSheetId="2" hidden="1">Put_STO!$V$7:$AC$9</definedName>
    <definedName name="OpenTrades">Dashboard!$E$13</definedName>
    <definedName name="Option_Type">Dashboard!$E$20</definedName>
    <definedName name="Put_Root">Dashboard!$E$10</definedName>
    <definedName name="Puts">Dashboard!$E$15</definedName>
    <definedName name="Trade_Root">Dashboard!$E$22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6" l="1"/>
  <c r="K24" i="6"/>
  <c r="J24" i="6"/>
  <c r="N23" i="6"/>
  <c r="K23" i="6"/>
  <c r="J23" i="6"/>
  <c r="N22" i="6"/>
  <c r="K22" i="6"/>
  <c r="J22" i="6"/>
  <c r="N21" i="6"/>
  <c r="K21" i="6"/>
  <c r="J21" i="6"/>
  <c r="N20" i="6"/>
  <c r="K20" i="6"/>
  <c r="J20" i="6"/>
  <c r="N19" i="6"/>
  <c r="K19" i="6"/>
  <c r="J19" i="6"/>
  <c r="N15" i="6"/>
  <c r="K15" i="6"/>
  <c r="J15" i="6"/>
  <c r="N14" i="6"/>
  <c r="K14" i="6"/>
  <c r="J14" i="6"/>
  <c r="N13" i="6"/>
  <c r="K13" i="6"/>
  <c r="J13" i="6"/>
  <c r="N12" i="6"/>
  <c r="K12" i="6"/>
  <c r="J12" i="6"/>
  <c r="N11" i="6"/>
  <c r="K11" i="6"/>
  <c r="J11" i="6"/>
  <c r="N10" i="6"/>
  <c r="K10" i="6"/>
  <c r="J10" i="6"/>
  <c r="N9" i="6"/>
  <c r="K9" i="6"/>
  <c r="J9" i="6"/>
  <c r="N8" i="6"/>
  <c r="K8" i="6"/>
  <c r="J8" i="6"/>
  <c r="N7" i="6"/>
  <c r="K7" i="6"/>
  <c r="J7" i="6"/>
  <c r="N6" i="6"/>
  <c r="K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tc={5393D679-B103-4F4C-BE89-3DFB4BE9DBE9}</author>
    <author>tc={69C3949A-8620-4CD8-B2F1-D749B8D50236}</author>
    <author>tc={A69F7D90-C0F1-417C-82AD-0259E2DEE6C3}</author>
    <author>tc={4E5440D9-E360-4CC5-85E7-0A29701B6FF0}</author>
    <author>tc={56275EB1-BBD1-4621-ADC7-5133CE1BE8DE}</author>
  </authors>
  <commentList>
    <comment ref="D4" authorId="0" shapeId="0" xr:uid="{5393D679-B103-4F4C-BE89-3DFB4BE9DBE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information can be hidden if desired</t>
      </text>
    </comment>
    <comment ref="E6" authorId="1" shapeId="0" xr:uid="{69C3949A-8620-4CD8-B2F1-D749B8D5023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3" authorId="2" shapeId="0" xr:uid="{A69F7D90-C0F1-417C-82AD-0259E2DEE6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8" authorId="3" shapeId="0" xr:uid="{4E5440D9-E360-4CC5-85E7-0A29701B6FF0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24" authorId="4" shapeId="0" xr:uid="{56275EB1-BBD1-4621-ADC7-5133CE1BE8DE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E5B3-B7C4-4927-B6A9-176FD7D2B91D}" keepAlive="1" name="Query - DC_by_close_action" description="Connection to the 'DC_by_close_action' query in the workbook." type="5" refreshedVersion="6" saveData="1">
    <dbPr connection="Provider=Microsoft.Mashup.OleDb.1;Data Source=$Workbook$;Location=DC_by_close_action;Extended Properties=&quot;&quot;" command="SELECT * FROM [DC_by_close_action]"/>
  </connection>
  <connection id="2" xr16:uid="{75D59E55-8A9B-46B5-A518-2E3EBA43CDDF}" keepAlive="1" name="Query - DC_by_option_type" description="Connection to the 'DC_by_option_type' query in the workbook." type="5" refreshedVersion="6" saveData="1">
    <dbPr connection="Provider=Microsoft.Mashup.OleDb.1;Data Source=$Workbook$;Location=DC_by_option_type;Extended Properties=&quot;&quot;" command="SELECT * FROM [DC_by_option_type]"/>
  </connection>
  <connection id="3" xr16:uid="{C41A3737-76D0-446D-AC60-0D2A996587E0}" keepAlive="1" name="Query - DC_by_root" description="Connection to the 'DC_by_root' query in the workbook." type="5" refreshedVersion="6" saveData="1">
    <dbPr connection="Provider=Microsoft.Mashup.OleDb.1;Data Source=$Workbook$;Location=DC_by_root;Extended Properties=&quot;&quot;" command="SELECT * FROM [DC_by_root]"/>
  </connection>
  <connection id="4" xr16:uid="{E33306F8-4843-46BF-B933-6BFD56090717}" keepAlive="1" name="Query - DR_call_root_spread" description="Connection to the 'DR_call_root_spread' query in the workbook." type="5" refreshedVersion="6" saveData="1">
    <dbPr connection="Provider=Microsoft.Mashup.OleDb.1;Data Source=$Workbook$;Location=DR_call_root_spread;Extended Properties=&quot;&quot;" command="SELECT * FROM [DR_call_root_spread]"/>
  </connection>
  <connection id="5" xr16:uid="{545EE8BD-C9D2-4B03-B17B-C1536D7EB4D4}" keepAlive="1" name="Query - DR_cash_at_risk" description="Connection to the 'DR_cash_at_risk' query in the workbook." type="5" refreshedVersion="6" saveData="1">
    <dbPr connection="Provider=Microsoft.Mashup.OleDb.1;Data Source=$Workbook$;Location=DR_cash_at_risk;Extended Properties=&quot;&quot;" command="SELECT * FROM [DR_cash_at_risk]"/>
  </connection>
  <connection id="6" xr16:uid="{DC6DC399-8597-48D0-B4AD-9F7B73927CD0}" keepAlive="1" name="Query - DR_expiry_spread" description="Connection to the 'DR_expiry_spread' query in the workbook." type="5" refreshedVersion="6" saveData="1">
    <dbPr connection="Provider=Microsoft.Mashup.OleDb.1;Data Source=$Workbook$;Location=DR_expiry_spread;Extended Properties=&quot;&quot;" command="SELECT * FROM [DR_expiry_spread]"/>
  </connection>
  <connection id="7" xr16:uid="{1CB206C6-D5F8-4AED-96D6-53E373B1476F}" keepAlive="1" name="Query - DR_put_root_spread" description="Connection to the 'DR_put_root_spread' query in the workbook." type="5" refreshedVersion="6" saveData="1">
    <dbPr connection="Provider=Microsoft.Mashup.OleDb.1;Data Source=$Workbook$;Location=DR_put_root_spread;Extended Properties=&quot;&quot;" command="SELECT * FROM [DR_put_root_spread]"/>
  </connection>
</connections>
</file>

<file path=xl/sharedStrings.xml><?xml version="1.0" encoding="utf-8"?>
<sst xmlns="http://schemas.openxmlformats.org/spreadsheetml/2006/main" count="221" uniqueCount="109">
  <si>
    <t>AMZN</t>
  </si>
  <si>
    <t>Contracts</t>
  </si>
  <si>
    <t>Root</t>
  </si>
  <si>
    <t>Expiry Date</t>
  </si>
  <si>
    <t>Root (Stock) Spread – Open Calls</t>
  </si>
  <si>
    <t>Root (Stock) Spread – Open Puts</t>
  </si>
  <si>
    <t>Expiry Calendar</t>
  </si>
  <si>
    <t>Cash Covered Puts - DRCash</t>
  </si>
  <si>
    <t>POWARRMax At Risk Dashboard - Open Trades Only</t>
  </si>
  <si>
    <t>version 0.1 Spec Only</t>
  </si>
  <si>
    <t>POWARRMax © 2022, Richard Barrett</t>
  </si>
  <si>
    <t>Put</t>
  </si>
  <si>
    <t>Call</t>
  </si>
  <si>
    <t>Option Type</t>
  </si>
  <si>
    <t>Cash Flow by Option Trade Root</t>
  </si>
  <si>
    <t>Cash Flow by Option Trade Close Action</t>
  </si>
  <si>
    <t>Cash Flow by Option Type</t>
  </si>
  <si>
    <t>POWARRMax CashFlow Dashboard</t>
  </si>
  <si>
    <t>POWARRMax Trade Performance</t>
  </si>
  <si>
    <t>CSV Files TBD</t>
  </si>
  <si>
    <t>CRM</t>
  </si>
  <si>
    <t>CRWD</t>
  </si>
  <si>
    <t>Sheet</t>
  </si>
  <si>
    <t>Folder</t>
  </si>
  <si>
    <t>CashFlow</t>
  </si>
  <si>
    <t>DC_by_option_type.csv</t>
  </si>
  <si>
    <t>DC_by_close_action.csv</t>
  </si>
  <si>
    <t>Option_Type</t>
  </si>
  <si>
    <t>Close_Action</t>
  </si>
  <si>
    <t>DC_by_root.csv</t>
  </si>
  <si>
    <t>Trade_Root</t>
  </si>
  <si>
    <t>Source Files</t>
  </si>
  <si>
    <t xml:space="preserve"> f</t>
  </si>
  <si>
    <t>POWARRMax Open Trades</t>
  </si>
  <si>
    <t>CALLS</t>
  </si>
  <si>
    <t>Open Date</t>
  </si>
  <si>
    <t>Strike Price</t>
  </si>
  <si>
    <t>Open Fee / Share</t>
  </si>
  <si>
    <t>Open Root Price</t>
  </si>
  <si>
    <t>Open Commsn</t>
  </si>
  <si>
    <t>Open Net Proceeds</t>
  </si>
  <si>
    <t>Status</t>
  </si>
  <si>
    <t>Cur Root Price</t>
  </si>
  <si>
    <t>Open ARR</t>
  </si>
  <si>
    <t>AIG</t>
  </si>
  <si>
    <t>Open</t>
  </si>
  <si>
    <t>BTC 0.1</t>
  </si>
  <si>
    <t>ARNC</t>
  </si>
  <si>
    <t>BTC 0.05</t>
  </si>
  <si>
    <t>ATCO</t>
  </si>
  <si>
    <t>AVGO</t>
  </si>
  <si>
    <t>CF</t>
  </si>
  <si>
    <t>BTC 0.65</t>
  </si>
  <si>
    <t>PUTS</t>
  </si>
  <si>
    <t>BTC 0.66</t>
  </si>
  <si>
    <t>BTC 2.75</t>
  </si>
  <si>
    <t>BTC 0.75</t>
  </si>
  <si>
    <t>BTC 1.10</t>
  </si>
  <si>
    <t>DAC</t>
  </si>
  <si>
    <t>VBA Developer Notes</t>
  </si>
  <si>
    <t>For this sheet, the csv files are stacked vertically, not horizontally.</t>
  </si>
  <si>
    <t>OpenTrades</t>
  </si>
  <si>
    <t>Data Source Management</t>
  </si>
  <si>
    <t>To update all data, confirm all files are saved in the correct location and named correctly.</t>
  </si>
  <si>
    <t>Refresh the queries by clicking the Data / Refresh All menu option</t>
  </si>
  <si>
    <t>Save the template using TBD naming.</t>
  </si>
  <si>
    <t>cj</t>
  </si>
  <si>
    <t>Version Control</t>
  </si>
  <si>
    <t>Workbook Update Process</t>
  </si>
  <si>
    <t>Review each sheet tab for accuracy.</t>
  </si>
  <si>
    <t>AtRisk</t>
  </si>
  <si>
    <t xml:space="preserve">The format for currency varies from table to table </t>
  </si>
  <si>
    <t>Root (Stock) Spread – Open Puts section .CSV file provided does not match the original data for AMZN</t>
  </si>
  <si>
    <t>Suggestion</t>
  </si>
  <si>
    <t>provide correct .CSV file</t>
  </si>
  <si>
    <t>format consistently</t>
  </si>
  <si>
    <t xml:space="preserve">Cell T20 source data is NULL </t>
  </si>
  <si>
    <t>convert NULL to 0 value in Power Query?</t>
  </si>
  <si>
    <t>Cell AC20 source data is NULL</t>
  </si>
  <si>
    <t xml:space="preserve">Missing CSV source files </t>
  </si>
  <si>
    <t>upload to G Drive</t>
  </si>
  <si>
    <t>Cell F17 source data is NULL</t>
  </si>
  <si>
    <t>O18 source data is NULL</t>
  </si>
  <si>
    <t>W18 source data is NULL</t>
  </si>
  <si>
    <t>Added comma formats</t>
  </si>
  <si>
    <t>TradePerf</t>
  </si>
  <si>
    <t>No files or specs provided</t>
  </si>
  <si>
    <t>Client Note</t>
  </si>
  <si>
    <t>Developer Note</t>
  </si>
  <si>
    <t xml:space="preserve">    Source = Csv.Document(File.Contents(FilePath &amp; FileName)</t>
  </si>
  <si>
    <t>M Editor</t>
  </si>
  <si>
    <t>FileName= Excel.CurrentWorkbook(){[Name="Trade_Root"]}[Content]{0}[Column1],</t>
  </si>
  <si>
    <t>FilePath= Excel.CurrentWorkbook(){[Name="CashFlow"]}[Content]{0}[Column1],</t>
  </si>
  <si>
    <t>POWARRMax XLOptionBoard</t>
  </si>
  <si>
    <t>Put_STO</t>
  </si>
  <si>
    <t>Put_STO_Tonka.csv</t>
  </si>
  <si>
    <t>Call_STO_Tonka.csv</t>
  </si>
  <si>
    <t>C:\Users\richa\OneDrive\Documents\GitHub\POWMax_Tonka_Prdtn\</t>
  </si>
  <si>
    <t>Call_STO</t>
  </si>
  <si>
    <t>Put_BTC</t>
  </si>
  <si>
    <t>Call_BTC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</si>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</sst>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m/dd/yy"/>
    <numFmt numFmtId="165" formatCode="_(* #,##0_);_(* \(#,##0\);_(* &quot;-&quot;??_);_(@_)"/>
    <numFmt numFmtId="166" formatCode="0.0%"/>
    <numFmt numFmtId="167" formatCode="[$$-409]#,##0;[Red]\-[$$-409]#,##0"/>
    <numFmt numFmtId="168" formatCode="&quot; &quot;* #,##0.00&quot; &quot;;&quot; &quot;* &quot;(&quot;#,##0.00&quot;)&quot;;&quot; &quot;* &quot;-&quot;#&quot; &quot;;&quot; &quot;@&quot; &quot;"/>
    <numFmt numFmtId="169" formatCode="[$-409]0%"/>
  </numFmts>
  <fonts count="20"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0.5"/>
      <name val="Arial"/>
      <family val="2"/>
      <charset val="1"/>
    </font>
    <font>
      <sz val="10.5"/>
      <name val="Arial"/>
      <family val="2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b/>
      <sz val="14"/>
      <name val="Arial"/>
      <family val="2"/>
      <charset val="1"/>
    </font>
    <font>
      <sz val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Liberation Sans"/>
    </font>
    <font>
      <sz val="10"/>
      <color theme="1"/>
      <name val="Liberation Sans"/>
      <family val="2"/>
    </font>
    <font>
      <b/>
      <sz val="11"/>
      <color rgb="FF000000"/>
      <name val="Calibri"/>
      <family val="2"/>
    </font>
    <font>
      <b/>
      <sz val="10"/>
      <color theme="1"/>
      <name val="Liberation Sans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6A6"/>
        <bgColor rgb="FFFFAA95"/>
      </patternFill>
    </fill>
    <fill>
      <patternFill patternType="solid">
        <fgColor theme="9" tint="0.39997558519241921"/>
        <bgColor rgb="FFFFAA95"/>
      </patternFill>
    </fill>
    <fill>
      <patternFill patternType="solid">
        <fgColor rgb="FF00B0F0"/>
        <bgColor rgb="FFFFAA9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AA9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168" fontId="15" fillId="0" borderId="0"/>
  </cellStyleXfs>
  <cellXfs count="103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3" fontId="1" fillId="0" borderId="0" xfId="1" applyNumberFormat="1" applyAlignment="1">
      <alignment horizontal="center"/>
    </xf>
    <xf numFmtId="164" fontId="1" fillId="0" borderId="0" xfId="1" applyNumberFormat="1"/>
    <xf numFmtId="9" fontId="1" fillId="0" borderId="0" xfId="1" applyNumberFormat="1" applyAlignment="1">
      <alignment horizontal="center"/>
    </xf>
    <xf numFmtId="3" fontId="1" fillId="0" borderId="0" xfId="1" applyNumberFormat="1" applyAlignment="1">
      <alignment horizontal="right"/>
    </xf>
    <xf numFmtId="164" fontId="1" fillId="0" borderId="0" xfId="1" applyNumberFormat="1" applyAlignment="1">
      <alignment horizontal="right"/>
    </xf>
    <xf numFmtId="10" fontId="1" fillId="0" borderId="0" xfId="1" applyNumberFormat="1"/>
    <xf numFmtId="164" fontId="1" fillId="0" borderId="0" xfId="1" applyNumberFormat="1" applyAlignment="1">
      <alignment horizontal="center"/>
    </xf>
    <xf numFmtId="9" fontId="1" fillId="0" borderId="0" xfId="1" applyNumberFormat="1"/>
    <xf numFmtId="0" fontId="3" fillId="0" borderId="0" xfId="1" applyFont="1"/>
    <xf numFmtId="0" fontId="5" fillId="0" borderId="0" xfId="1" applyFont="1"/>
    <xf numFmtId="0" fontId="6" fillId="0" borderId="0" xfId="1" applyFont="1"/>
    <xf numFmtId="3" fontId="4" fillId="0" borderId="0" xfId="1" applyNumberFormat="1" applyFont="1" applyAlignment="1">
      <alignment horizontal="right"/>
    </xf>
    <xf numFmtId="3" fontId="4" fillId="0" borderId="0" xfId="1" applyNumberFormat="1" applyFont="1"/>
    <xf numFmtId="164" fontId="8" fillId="0" borderId="0" xfId="1" applyNumberFormat="1" applyFont="1"/>
    <xf numFmtId="0" fontId="1" fillId="3" borderId="0" xfId="1" applyFill="1"/>
    <xf numFmtId="3" fontId="1" fillId="3" borderId="0" xfId="1" applyNumberFormat="1" applyFill="1"/>
    <xf numFmtId="3" fontId="4" fillId="3" borderId="0" xfId="1" applyNumberFormat="1" applyFont="1" applyFill="1" applyAlignment="1">
      <alignment horizontal="right"/>
    </xf>
    <xf numFmtId="3" fontId="4" fillId="3" borderId="0" xfId="1" applyNumberFormat="1" applyFont="1" applyFill="1"/>
    <xf numFmtId="164" fontId="4" fillId="3" borderId="0" xfId="1" applyNumberFormat="1" applyFont="1" applyFill="1"/>
    <xf numFmtId="0" fontId="6" fillId="3" borderId="0" xfId="1" applyFont="1" applyFill="1"/>
    <xf numFmtId="164" fontId="4" fillId="0" borderId="0" xfId="1" applyNumberFormat="1" applyFont="1"/>
    <xf numFmtId="0" fontId="1" fillId="4" borderId="0" xfId="1" applyFill="1"/>
    <xf numFmtId="3" fontId="1" fillId="4" borderId="0" xfId="1" applyNumberFormat="1" applyFill="1"/>
    <xf numFmtId="3" fontId="4" fillId="4" borderId="0" xfId="1" applyNumberFormat="1" applyFont="1" applyFill="1" applyAlignment="1">
      <alignment horizontal="right"/>
    </xf>
    <xf numFmtId="3" fontId="4" fillId="4" borderId="0" xfId="1" applyNumberFormat="1" applyFont="1" applyFill="1"/>
    <xf numFmtId="164" fontId="4" fillId="4" borderId="0" xfId="1" applyNumberFormat="1" applyFont="1" applyFill="1"/>
    <xf numFmtId="0" fontId="6" fillId="4" borderId="0" xfId="1" applyFont="1" applyFill="1"/>
    <xf numFmtId="0" fontId="6" fillId="5" borderId="0" xfId="1" applyFont="1" applyFill="1"/>
    <xf numFmtId="0" fontId="1" fillId="5" borderId="0" xfId="1" applyFill="1"/>
    <xf numFmtId="164" fontId="4" fillId="5" borderId="0" xfId="1" applyNumberFormat="1" applyFont="1" applyFill="1"/>
    <xf numFmtId="3" fontId="4" fillId="5" borderId="0" xfId="1" applyNumberFormat="1" applyFont="1" applyFill="1"/>
    <xf numFmtId="3" fontId="4" fillId="5" borderId="0" xfId="1" applyNumberFormat="1" applyFont="1" applyFill="1" applyAlignment="1">
      <alignment horizontal="right"/>
    </xf>
    <xf numFmtId="3" fontId="1" fillId="5" borderId="0" xfId="1" applyNumberFormat="1" applyFill="1"/>
    <xf numFmtId="0" fontId="1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1" fillId="0" borderId="0" xfId="1" applyAlignment="1">
      <alignment vertical="center"/>
    </xf>
    <xf numFmtId="0" fontId="11" fillId="0" borderId="0" xfId="0" applyFont="1"/>
    <xf numFmtId="0" fontId="0" fillId="6" borderId="0" xfId="0" applyFill="1"/>
    <xf numFmtId="0" fontId="1" fillId="0" borderId="0" xfId="1" applyAlignment="1">
      <alignment horizontal="center" wrapText="1"/>
    </xf>
    <xf numFmtId="165" fontId="0" fillId="0" borderId="0" xfId="4" applyNumberFormat="1" applyFont="1"/>
    <xf numFmtId="9" fontId="1" fillId="0" borderId="0" xfId="1" applyNumberFormat="1" applyAlignment="1">
      <alignment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/>
    </xf>
    <xf numFmtId="3" fontId="5" fillId="2" borderId="2" xfId="1" applyNumberFormat="1" applyFont="1" applyFill="1" applyBorder="1" applyAlignment="1">
      <alignment horizontal="right" vertical="center"/>
    </xf>
    <xf numFmtId="167" fontId="1" fillId="0" borderId="0" xfId="1" applyNumberFormat="1" applyAlignment="1">
      <alignment horizontal="left" wrapText="1"/>
    </xf>
    <xf numFmtId="3" fontId="7" fillId="2" borderId="0" xfId="1" applyNumberFormat="1" applyFont="1" applyFill="1" applyAlignment="1">
      <alignment horizontal="center" wrapText="1"/>
    </xf>
    <xf numFmtId="167" fontId="1" fillId="0" borderId="0" xfId="1" applyNumberFormat="1" applyAlignment="1">
      <alignment horizontal="center" wrapText="1"/>
    </xf>
    <xf numFmtId="166" fontId="1" fillId="0" borderId="0" xfId="1" applyNumberFormat="1" applyAlignment="1">
      <alignment horizontal="center" wrapText="1"/>
    </xf>
    <xf numFmtId="165" fontId="0" fillId="0" borderId="0" xfId="2" applyNumberFormat="1" applyFont="1" applyBorder="1"/>
    <xf numFmtId="0" fontId="6" fillId="8" borderId="0" xfId="1" applyFont="1" applyFill="1"/>
    <xf numFmtId="0" fontId="1" fillId="8" borderId="0" xfId="1" applyFill="1"/>
    <xf numFmtId="164" fontId="4" fillId="8" borderId="0" xfId="1" applyNumberFormat="1" applyFont="1" applyFill="1"/>
    <xf numFmtId="3" fontId="4" fillId="8" borderId="0" xfId="1" applyNumberFormat="1" applyFont="1" applyFill="1"/>
    <xf numFmtId="3" fontId="4" fillId="8" borderId="0" xfId="1" applyNumberFormat="1" applyFont="1" applyFill="1" applyAlignment="1">
      <alignment horizontal="right"/>
    </xf>
    <xf numFmtId="3" fontId="1" fillId="8" borderId="0" xfId="1" applyNumberFormat="1" applyFill="1"/>
    <xf numFmtId="0" fontId="14" fillId="0" borderId="1" xfId="1" applyFont="1" applyBorder="1" applyAlignment="1">
      <alignment horizontal="left" wrapText="1"/>
    </xf>
    <xf numFmtId="169" fontId="16" fillId="0" borderId="1" xfId="5" applyNumberFormat="1" applyFont="1" applyBorder="1" applyAlignment="1">
      <alignment wrapText="1"/>
    </xf>
    <xf numFmtId="4" fontId="17" fillId="0" borderId="1" xfId="1" applyNumberFormat="1" applyFont="1" applyBorder="1" applyAlignment="1">
      <alignment wrapText="1"/>
    </xf>
    <xf numFmtId="0" fontId="16" fillId="0" borderId="1" xfId="1" applyFont="1" applyBorder="1" applyAlignment="1">
      <alignment horizontal="center" wrapText="1"/>
    </xf>
    <xf numFmtId="4" fontId="16" fillId="0" borderId="1" xfId="1" applyNumberFormat="1" applyFont="1" applyBorder="1" applyAlignment="1">
      <alignment horizontal="center" wrapText="1"/>
    </xf>
    <xf numFmtId="164" fontId="16" fillId="0" borderId="1" xfId="1" applyNumberFormat="1" applyFont="1" applyBorder="1" applyAlignment="1">
      <alignment horizontal="center" wrapText="1"/>
    </xf>
    <xf numFmtId="3" fontId="16" fillId="0" borderId="1" xfId="1" applyNumberFormat="1" applyFont="1" applyBorder="1" applyAlignment="1">
      <alignment horizontal="right" wrapText="1"/>
    </xf>
    <xf numFmtId="0" fontId="16" fillId="0" borderId="1" xfId="1" applyFont="1" applyBorder="1" applyAlignment="1">
      <alignment horizontal="center"/>
    </xf>
    <xf numFmtId="4" fontId="17" fillId="0" borderId="1" xfId="1" applyNumberFormat="1" applyFont="1" applyBorder="1" applyAlignment="1">
      <alignment horizontal="center" wrapText="1"/>
    </xf>
    <xf numFmtId="4" fontId="1" fillId="0" borderId="1" xfId="1" applyNumberFormat="1" applyBorder="1" applyAlignment="1">
      <alignment horizontal="left" wrapText="1"/>
    </xf>
    <xf numFmtId="169" fontId="18" fillId="0" borderId="1" xfId="5" applyNumberFormat="1" applyFont="1" applyBorder="1" applyAlignment="1">
      <alignment wrapText="1"/>
    </xf>
    <xf numFmtId="4" fontId="1" fillId="0" borderId="1" xfId="1" applyNumberFormat="1" applyBorder="1" applyAlignment="1">
      <alignment wrapText="1"/>
    </xf>
    <xf numFmtId="164" fontId="18" fillId="0" borderId="1" xfId="1" applyNumberFormat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center" wrapText="1"/>
    </xf>
    <xf numFmtId="0" fontId="18" fillId="0" borderId="1" xfId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right" wrapText="1"/>
    </xf>
    <xf numFmtId="3" fontId="18" fillId="0" borderId="1" xfId="1" applyNumberFormat="1" applyFont="1" applyBorder="1" applyAlignment="1">
      <alignment horizontal="right" wrapText="1"/>
    </xf>
    <xf numFmtId="0" fontId="18" fillId="0" borderId="1" xfId="1" applyFont="1" applyBorder="1" applyAlignment="1">
      <alignment horizontal="center"/>
    </xf>
    <xf numFmtId="9" fontId="1" fillId="0" borderId="1" xfId="1" applyNumberFormat="1" applyBorder="1"/>
    <xf numFmtId="4" fontId="1" fillId="0" borderId="0" xfId="1" applyNumberFormat="1" applyAlignment="1">
      <alignment horizontal="left" wrapText="1"/>
    </xf>
    <xf numFmtId="169" fontId="18" fillId="0" borderId="0" xfId="5" applyNumberFormat="1" applyFont="1" applyAlignment="1">
      <alignment wrapText="1"/>
    </xf>
    <xf numFmtId="4" fontId="1" fillId="0" borderId="0" xfId="1" applyNumberFormat="1" applyAlignment="1">
      <alignment wrapText="1"/>
    </xf>
    <xf numFmtId="164" fontId="18" fillId="0" borderId="0" xfId="1" applyNumberFormat="1" applyFont="1" applyAlignment="1">
      <alignment horizontal="center" wrapText="1"/>
    </xf>
    <xf numFmtId="4" fontId="18" fillId="0" borderId="0" xfId="1" applyNumberFormat="1" applyFont="1" applyAlignment="1">
      <alignment horizontal="center" wrapText="1"/>
    </xf>
    <xf numFmtId="0" fontId="18" fillId="0" borderId="0" xfId="1" applyFont="1" applyAlignment="1">
      <alignment horizontal="center" wrapText="1"/>
    </xf>
    <xf numFmtId="4" fontId="18" fillId="0" borderId="0" xfId="1" applyNumberFormat="1" applyFont="1" applyAlignment="1">
      <alignment horizontal="right" wrapText="1"/>
    </xf>
    <xf numFmtId="3" fontId="18" fillId="0" borderId="0" xfId="1" applyNumberFormat="1" applyFont="1" applyAlignment="1">
      <alignment horizontal="right" wrapText="1"/>
    </xf>
    <xf numFmtId="0" fontId="18" fillId="0" borderId="0" xfId="1" applyFont="1" applyAlignment="1">
      <alignment horizontal="center"/>
    </xf>
    <xf numFmtId="0" fontId="1" fillId="0" borderId="0" xfId="1" applyAlignment="1">
      <alignment horizontal="left"/>
    </xf>
    <xf numFmtId="4" fontId="1" fillId="0" borderId="0" xfId="1" applyNumberFormat="1"/>
    <xf numFmtId="4" fontId="1" fillId="0" borderId="0" xfId="1" applyNumberFormat="1" applyAlignment="1">
      <alignment horizontal="center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wrapText="1"/>
    </xf>
    <xf numFmtId="0" fontId="10" fillId="6" borderId="0" xfId="0" applyFont="1" applyFill="1"/>
    <xf numFmtId="2" fontId="0" fillId="0" borderId="0" xfId="0" applyNumberFormat="1"/>
    <xf numFmtId="165" fontId="0" fillId="0" borderId="0" xfId="2" applyNumberFormat="1" applyFont="1"/>
    <xf numFmtId="9" fontId="0" fillId="0" borderId="0" xfId="3" applyFont="1" applyBorder="1"/>
    <xf numFmtId="9" fontId="0" fillId="0" borderId="0" xfId="3" applyFont="1"/>
    <xf numFmtId="0" fontId="1" fillId="0" borderId="0" xfId="1" applyAlignment="1">
      <alignment horizontal="right"/>
    </xf>
    <xf numFmtId="0" fontId="13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0" fillId="0" borderId="0" xfId="0" applyAlignment="1">
      <alignment horizontal="left" wrapText="1"/>
    </xf>
  </cellXfs>
  <cellStyles count="6">
    <cellStyle name="Comma" xfId="4" builtinId="3"/>
    <cellStyle name="Comma 2" xfId="2" xr:uid="{F9BBE2E1-E6A1-4308-96E5-9D88D62E6381}"/>
    <cellStyle name="Excel Built-in Comma" xfId="5" xr:uid="{1C944A53-24ED-4FD9-B9A5-4CF555EF1B75}"/>
    <cellStyle name="Normal" xfId="0" builtinId="0"/>
    <cellStyle name="Normal 2" xfId="1" xr:uid="{69771F19-AA45-4E2A-A117-CC174580A813}"/>
    <cellStyle name="Percent 2" xfId="3" xr:uid="{C0738393-1D49-45B7-B279-401C08568144}"/>
  </cellStyles>
  <dxfs count="45"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z val="11"/>
        <color theme="1"/>
        <name val="Calibri"/>
        <family val="2"/>
        <scheme val="minor"/>
      </font>
      <numFmt numFmtId="13" formatCode="0%"/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6" formatCode="0.0%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7" formatCode="[$$-409]#,##0;[Red]\-[$$-409]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" formatCode="#,##0"/>
      <fill>
        <patternFill patternType="solid">
          <fgColor indexed="64"/>
          <bgColor rgb="FFFF000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charset val="1"/>
        <scheme val="none"/>
      </font>
      <numFmt numFmtId="167" formatCode="[$$-409]#,##0;[Red]\-[$$-409]#,##0"/>
      <alignment horizontal="left" vertical="bottom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7C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9</xdr:row>
      <xdr:rowOff>107950</xdr:rowOff>
    </xdr:from>
    <xdr:to>
      <xdr:col>12</xdr:col>
      <xdr:colOff>577850</xdr:colOff>
      <xdr:row>14</xdr:row>
      <xdr:rowOff>73780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E787F8-3A31-431B-9B84-4426351CC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1879600"/>
          <a:ext cx="3727450" cy="886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279400</xdr:colOff>
      <xdr:row>10</xdr:row>
      <xdr:rowOff>76200</xdr:rowOff>
    </xdr:from>
    <xdr:to>
      <xdr:col>11</xdr:col>
      <xdr:colOff>107950</xdr:colOff>
      <xdr:row>14</xdr:row>
      <xdr:rowOff>76200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DE30FFD2-31B4-4F5C-AC91-4DB0AFF2D3FC}"/>
            </a:ext>
          </a:extLst>
        </xdr:cNvPr>
        <xdr:cNvSpPr/>
      </xdr:nvSpPr>
      <xdr:spPr>
        <a:xfrm>
          <a:off x="9944100" y="2032000"/>
          <a:ext cx="438150" cy="736600"/>
        </a:xfrm>
        <a:prstGeom prst="ellipse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EBF25FBC-20F9-469C-8700-7DF9DF034478}" userId="User" providerId="Non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8DF911F-B263-4508-857E-D9FDF9ACC887}" autoFormatId="16" applyNumberFormats="0" applyBorderFormats="0" applyFontFormats="0" applyPatternFormats="0" applyAlignmentFormats="0" applyWidthHeightFormats="0">
  <queryTableRefresh nextId="5">
    <queryTableFields count="4">
      <queryTableField id="1" name="$ Avail" tableColumnId="1"/>
      <queryTableField id="2" name="$ at Risk" tableColumnId="2"/>
      <queryTableField id="3" name="$ ITM" tableColumnId="3"/>
      <queryTableField id="4" name="% ITM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89170F30-7ADE-49E5-BE6B-18D24494A4D9}" autoFormatId="16" applyNumberFormats="0" applyBorderFormats="0" applyFontFormats="0" applyPatternFormats="0" applyAlignmentFormats="0" applyWidthHeightFormats="0">
  <queryTableRefresh nextId="7">
    <queryTableFields count="6">
      <queryTableField id="1" name="Expiry Date" tableColumnId="1"/>
      <queryTableField id="2" name="Open Trades" tableColumnId="2"/>
      <queryTableField id="3" name="$ at Risk" tableColumnId="3"/>
      <queryTableField id="4" name="$ ITM" tableColumnId="4"/>
      <queryTableField id="5" name="ITM % of Expiry At Risk" tableColumnId="5"/>
      <queryTableField id="6" name="ITM % of Tot. IT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7" xr16:uid="{57FC69CE-EF17-488F-B44F-4B9EBD6BCC81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2"/>
      <queryTableField id="3" name="$ at Risk" tableColumnId="3"/>
      <queryTableField id="4" name="% of $ at Risk" tableColumnId="4"/>
      <queryTableField id="5" name="$ ITM" tableColumnId="5"/>
      <queryTableField id="6" name="ITM % of Tot $ at Risk" tableColumnId="6"/>
      <queryTableField id="7" name="ITM % of Tot $ ITM" tableColumnId="7"/>
      <queryTableField id="8" name="ITM % of Root $ at Risk" tableColumnId="8"/>
    </queryTableFields>
    <queryTableDeletedFields count="1">
      <deletedField name="Root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4" xr16:uid="{1EB47DAE-63AE-4A83-87FE-7561224E497E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18"/>
      <queryTableField id="3" name="Root $ at Risk" tableColumnId="19"/>
      <queryTableField id="4" name="% of Tot $ at Risk" tableColumnId="20"/>
      <queryTableField id="5" name="Root $ ITM" tableColumnId="21"/>
      <queryTableField id="6" name="ITM % of Tot $ at Risk" tableColumnId="22"/>
      <queryTableField id="7" name="ITM % of Tot $ ITM" tableColumnId="23"/>
      <queryTableField id="8" name="ITM % of Root $ at Risk" tableColumnId="24"/>
    </queryTableFields>
    <queryTableDeletedFields count="1">
      <deletedField name="Root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7B35832-A8CB-4F8F-AD97-EBB15201D6A1}" autoFormatId="16" applyNumberFormats="0" applyBorderFormats="0" applyFontFormats="0" applyPatternFormats="0" applyAlignmentFormats="0" applyWidthHeightFormats="0">
  <queryTableRefresh nextId="8">
    <queryTableFields count="7">
      <queryTableField id="1" name="Option Type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Option Type" tableColumnId="6"/>
      <queryTableField id="7" name="Pct Root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E89F7753-5F99-4B9A-92E3-CA3D0663638D}" autoFormatId="16" applyNumberFormats="0" applyBorderFormats="0" applyFontFormats="0" applyPatternFormats="0" applyAlignmentFormats="0" applyWidthHeightFormats="0">
  <queryTableRefresh nextId="8">
    <queryTableFields count="7">
      <queryTableField id="1" name="Close Action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Close Action" tableColumnId="6"/>
      <queryTableField id="7" name="Root Pct of To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FAE1933B-F60E-4CCA-9971-D4DE2E3A0636}" autoFormatId="16" applyNumberFormats="0" applyBorderFormats="0" applyFontFormats="0" applyPatternFormats="0" applyAlignmentFormats="0" applyWidthHeightFormats="0">
  <queryTableRefresh nextId="8">
    <queryTableFields count="7">
      <queryTableField id="1" name="Root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Root" tableColumnId="6"/>
      <queryTableField id="7" name="Pct Roo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10A60E-E0B2-44FB-B8F3-BE9121516B69}" name="Table8" displayName="Table8" ref="C2:F15" totalsRowShown="0">
  <autoFilter ref="C2:F15" xr:uid="{89BA2851-72CA-47DC-B282-E294FCFBD3EA}"/>
  <tableColumns count="4">
    <tableColumn id="1" xr3:uid="{A971A069-7626-4F30-883F-48E647930C68}" name="Sheet"/>
    <tableColumn id="2" xr3:uid="{F918C8EE-10C5-41E7-88A9-519C905602E2}" name="Developer Note"/>
    <tableColumn id="3" xr3:uid="{C3ACE438-74D2-4D4B-8419-2F826095A481}" name="Suggestion" dataDxfId="44"/>
    <tableColumn id="4" xr3:uid="{E361B4C2-D909-45CC-87C6-D5A34E31E995}" name="Client Note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5A95DD-9050-4F36-BEF9-002385E8F79F}" name="DR_cash_at_risk" displayName="DR_cash_at_risk" ref="A7:D8" tableType="queryTable" totalsRowShown="0" headerRowDxfId="42" headerRowCellStyle="Normal 2">
  <autoFilter ref="A7:D8" xr:uid="{48A94383-96C5-45E0-BAC2-61CE50AA9F9C}"/>
  <tableColumns count="4">
    <tableColumn id="1" xr3:uid="{AF027517-F4C3-4FA2-A62A-3480AC81A715}" uniqueName="1" name="Column1" queryTableFieldId="1" dataDxfId="41" dataCellStyle="Normal 2"/>
    <tableColumn id="2" xr3:uid="{03F8AC84-55E8-4906-8ADF-0D874D541A0F}" uniqueName="2" name="Column2" queryTableFieldId="2" dataDxfId="40" dataCellStyle="Normal 2"/>
    <tableColumn id="3" xr3:uid="{80D79EBC-FBA3-40E8-85B8-F9720E9BABC4}" uniqueName="3" name="Column3" queryTableFieldId="3" dataDxfId="39" dataCellStyle="Normal 2"/>
    <tableColumn id="4" xr3:uid="{363EBA0D-EEEB-4053-A615-2C840289B905}" uniqueName="4" name="Column4" queryTableFieldId="4" dataDxfId="38" dataCellStyle="Normal 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D7DD46-B86C-454D-9521-B1EC5A19A4DB}" name="DR_expiry_spread" displayName="DR_expiry_spread" ref="F7:K14" tableType="queryTable" totalsRowShown="0" headerRowCellStyle="Normal 2" dataCellStyle="Normal 2">
  <autoFilter ref="F7:K14" xr:uid="{95C5A292-C5AC-4816-BA7D-AA47492B1D99}"/>
  <tableColumns count="6">
    <tableColumn id="1" xr3:uid="{0326779E-1BD6-4846-9B3D-0B8E4BAAFBDC}" uniqueName="1" name="Column1" queryTableFieldId="1" dataDxfId="37" dataCellStyle="Normal 2"/>
    <tableColumn id="2" xr3:uid="{1D108178-109D-4163-8885-31EA44EADAFC}" uniqueName="2" name="Column2" queryTableFieldId="2" dataDxfId="36" dataCellStyle="Normal 2"/>
    <tableColumn id="3" xr3:uid="{9571668C-837D-4FB8-872D-A494EA38E4D2}" uniqueName="3" name="Column3" queryTableFieldId="3" dataDxfId="35" dataCellStyle="Normal 2"/>
    <tableColumn id="4" xr3:uid="{B1D75727-70E5-40A1-8EF4-4F7C5CB2438D}" uniqueName="4" name="Column4" queryTableFieldId="4" dataDxfId="34" dataCellStyle="Normal 2"/>
    <tableColumn id="5" xr3:uid="{C894D22A-A9DA-4C6B-BE6C-B2B6758AE646}" uniqueName="5" name="Column5" queryTableFieldId="5" dataDxfId="33" dataCellStyle="Normal 2"/>
    <tableColumn id="6" xr3:uid="{B4C443BC-86CC-486F-8ECE-5474C48D3A3D}" uniqueName="6" name="Column6" queryTableFieldId="6" dataDxfId="32" dataCellStyle="Normal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31F85C-1D33-4482-8883-D723C5FE495A}" name="DR_put_root_spread" displayName="DR_put_root_spread" ref="M7:T17" tableType="queryTable" totalsRowShown="0" headerRowDxfId="31" headerRowCellStyle="Normal 2" dataCellStyle="Normal 2">
  <autoFilter ref="M7:T17" xr:uid="{D555C00D-ADD1-493F-A4FE-02B5FDB9AF60}"/>
  <tableColumns count="8">
    <tableColumn id="1" xr3:uid="{27CC268E-9A3D-4576-8FAB-A734F736FFA3}" uniqueName="1" name="Column1" queryTableFieldId="9" dataDxfId="30" dataCellStyle="Normal 2"/>
    <tableColumn id="2" xr3:uid="{6E7E9D85-B530-47A5-AF85-F5E37CA5C0F1}" uniqueName="2" name="Column2" queryTableFieldId="2" dataDxfId="29" dataCellStyle="Normal 2"/>
    <tableColumn id="3" xr3:uid="{E322D566-EA54-44DC-8B9C-191F0775ACB4}" uniqueName="3" name="Column3" queryTableFieldId="3" dataDxfId="28" dataCellStyle="Comma 2"/>
    <tableColumn id="4" xr3:uid="{4D080892-6C18-44EE-B186-4E64167604C2}" uniqueName="4" name="Column4" queryTableFieldId="4" dataDxfId="27" dataCellStyle="Percent 2"/>
    <tableColumn id="5" xr3:uid="{FA18140D-41AE-4F02-98A4-B24DD168894A}" uniqueName="5" name="Column5" queryTableFieldId="5" dataDxfId="26" dataCellStyle="Comma 2"/>
    <tableColumn id="6" xr3:uid="{6F8DAC83-CCE4-4A36-A2A2-A7681E2737DF}" uniqueName="6" name="Column6" queryTableFieldId="6" dataDxfId="25" dataCellStyle="Normal 2"/>
    <tableColumn id="7" xr3:uid="{CD2439FC-F88A-4798-94BE-EB4A743C0B4A}" uniqueName="7" name="Column7" queryTableFieldId="7" dataDxfId="24" dataCellStyle="Normal 2"/>
    <tableColumn id="8" xr3:uid="{0DBD60C6-D8D4-4C50-81D5-B74696E06D7B}" uniqueName="8" name="Column8" queryTableFieldId="8" dataDxfId="23" dataCellStyle="Normal 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351214-A5F3-433A-9EFE-4C77B44325B4}" name="DR_call_root_spread" displayName="DR_call_root_spread" ref="V7:AC9" tableType="queryTable" totalsRowShown="0" headerRowDxfId="22">
  <autoFilter ref="V7:AC9" xr:uid="{D7BF326F-687C-4AB0-B7D7-E0B8429CB001}"/>
  <tableColumns count="8">
    <tableColumn id="1" xr3:uid="{B981F4D2-569F-4CAC-AE21-1118F7ABA897}" uniqueName="1" name="Column1" queryTableFieldId="9" dataDxfId="21" dataCellStyle="Normal 2"/>
    <tableColumn id="18" xr3:uid="{B15D170B-61C7-4F7B-9306-1DB9A7EC85D7}" uniqueName="18" name="Column2" queryTableFieldId="2"/>
    <tableColumn id="19" xr3:uid="{5CF2ED53-624B-458C-B58A-D904DA0DA604}" uniqueName="19" name="Column3" queryTableFieldId="3"/>
    <tableColumn id="20" xr3:uid="{B6234A94-3623-4F5A-931D-8BA3B92DC13D}" uniqueName="20" name="Column4" queryTableFieldId="4"/>
    <tableColumn id="21" xr3:uid="{CF027FD2-F923-43DE-AE1B-AAC2FC444B5C}" uniqueName="21" name="Column5" queryTableFieldId="5"/>
    <tableColumn id="22" xr3:uid="{7A1321B5-A9AD-4B12-A789-A3F1E474F8A2}" uniqueName="22" name="Column6" queryTableFieldId="6"/>
    <tableColumn id="23" xr3:uid="{E787B4FD-FCA6-4746-B1D5-20FDE55DF578}" uniqueName="23" name="Column7" queryTableFieldId="7"/>
    <tableColumn id="24" xr3:uid="{0C33727D-975C-4D7D-AA7E-14F294C3779C}" uniqueName="24" name="Column8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EF154E-5DC9-4249-BC35-66488BC37C89}" name="DC_by_option_type" displayName="DC_by_option_type" ref="A7:G11" tableType="queryTable" totalsRowShown="0" headerRowCellStyle="Normal 2" dataCellStyle="Normal 2">
  <autoFilter ref="A7:G11" xr:uid="{81DC2A11-E628-4E54-B41D-C122929E3136}"/>
  <tableColumns count="7">
    <tableColumn id="1" xr3:uid="{111E9390-3919-4693-8CE6-6A74E0E4C5EA}" uniqueName="1" name="Column1" queryTableFieldId="1" dataDxfId="20" dataCellStyle="Normal 2"/>
    <tableColumn id="2" xr3:uid="{B21784F2-3AD6-4EAD-AF2A-39F486BF04E3}" uniqueName="2" name="Column2" queryTableFieldId="2" dataDxfId="19" dataCellStyle="Comma"/>
    <tableColumn id="3" xr3:uid="{53B14C75-2504-49EA-900C-4DF1792BE3AC}" uniqueName="3" name="Column3" queryTableFieldId="3" dataDxfId="18" dataCellStyle="Comma"/>
    <tableColumn id="4" xr3:uid="{C9D683F3-AA0F-482B-9B10-A3C0ACFD15A9}" uniqueName="4" name="Column4" queryTableFieldId="4" dataDxfId="17" dataCellStyle="Comma"/>
    <tableColumn id="5" xr3:uid="{9162716A-ADCD-4864-B52A-29E596472E9E}" uniqueName="5" name="Column5" queryTableFieldId="5" dataDxfId="16" dataCellStyle="Comma"/>
    <tableColumn id="6" xr3:uid="{FAA54027-E1D3-430B-96BB-48F80DEB6FB3}" uniqueName="6" name="Column6" queryTableFieldId="6" dataDxfId="15" dataCellStyle="Comma"/>
    <tableColumn id="7" xr3:uid="{67DC4F45-F999-4935-8D99-BD314B3688EB}" uniqueName="7" name="Column7" queryTableFieldId="7" dataDxfId="14" dataCellStyle="Normal 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5A7EBB-E0AB-4E47-BF95-EE76DA4ABDD1}" name="DC_by_close_action" displayName="DC_by_close_action" ref="I7:O12" tableType="queryTable" totalsRowShown="0" headerRowCellStyle="Normal 2" dataCellStyle="Normal 2">
  <autoFilter ref="I7:O12" xr:uid="{2B3AD60B-7ED2-4CF5-B487-111055BD8406}"/>
  <tableColumns count="7">
    <tableColumn id="1" xr3:uid="{D008FA84-B605-4273-94BA-903A19A39409}" uniqueName="1" name="Column1" queryTableFieldId="1" dataDxfId="13" dataCellStyle="Normal 2"/>
    <tableColumn id="2" xr3:uid="{6FD66171-EA56-45F6-98D5-1EC9B0B5C8ED}" uniqueName="2" name="Column2" queryTableFieldId="2" dataDxfId="12" dataCellStyle="Comma"/>
    <tableColumn id="3" xr3:uid="{853C6EE8-EFA6-44B8-9DD9-784495576903}" uniqueName="3" name="Column3" queryTableFieldId="3" dataDxfId="11" dataCellStyle="Comma"/>
    <tableColumn id="4" xr3:uid="{8A972A57-5C14-4D03-8081-CF13C18F0580}" uniqueName="4" name="Column4" queryTableFieldId="4" dataDxfId="10" dataCellStyle="Comma"/>
    <tableColumn id="5" xr3:uid="{A9177DDB-5A72-4839-B62C-5FF4EE57214E}" uniqueName="5" name="Column5" queryTableFieldId="5" dataDxfId="9" dataCellStyle="Comma"/>
    <tableColumn id="6" xr3:uid="{59CBE004-7D6A-4001-824C-6A12FD5CA0A3}" uniqueName="6" name="Column6" queryTableFieldId="6" dataDxfId="8" dataCellStyle="Comma"/>
    <tableColumn id="7" xr3:uid="{E6CB65C8-A03D-436E-BDE9-5A1BF6A06138}" uniqueName="7" name="Column7" queryTableFieldId="7" dataDxfId="7" dataCellStyle="Normal 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9F2F99-D66B-407F-B334-35F3358E15FD}" name="DC_by_root" displayName="DC_by_root" ref="Q7:W12" tableType="queryTable" totalsRowShown="0" headerRowCellStyle="Normal 2" dataCellStyle="Normal 2">
  <autoFilter ref="Q7:W12" xr:uid="{15C3A34D-467E-4F72-AC54-F8BAB49EE50A}"/>
  <tableColumns count="7">
    <tableColumn id="1" xr3:uid="{133BF2A6-FD01-43B6-895D-95EADC8D9946}" uniqueName="1" name="Column1" queryTableFieldId="1" dataDxfId="6" dataCellStyle="Normal 2"/>
    <tableColumn id="2" xr3:uid="{B5A9D190-A3B9-4A07-B788-2DD80E5118CE}" uniqueName="2" name="Column2" queryTableFieldId="2" dataDxfId="5" dataCellStyle="Comma"/>
    <tableColumn id="3" xr3:uid="{D76DEF09-20BB-4B6F-A4A8-F11084F32A28}" uniqueName="3" name="Column3" queryTableFieldId="3" dataDxfId="4" dataCellStyle="Comma"/>
    <tableColumn id="4" xr3:uid="{B49F7A38-2ADD-4C4B-8BCF-41DF508774FD}" uniqueName="4" name="Column4" queryTableFieldId="4" dataDxfId="3" dataCellStyle="Comma"/>
    <tableColumn id="5" xr3:uid="{9BE9EBA5-867C-4BFE-A551-8B460F0FF955}" uniqueName="5" name="Column5" queryTableFieldId="5" dataDxfId="2" dataCellStyle="Comma"/>
    <tableColumn id="6" xr3:uid="{276FAF30-953B-4A64-A1E6-169CD06F1179}" uniqueName="6" name="Column6" queryTableFieldId="6" dataDxfId="1" dataCellStyle="Comma"/>
    <tableColumn id="7" xr3:uid="{D2C2A916-A80A-4850-84FB-5BE7BF00D7BF}" uniqueName="7" name="Column7" queryTableFieldId="7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2-11-08T15:01:05.30" personId="{EBF25FBC-20F9-469C-8700-7DF9DF034478}" id="{5393D679-B103-4F4C-BE89-3DFB4BE9DBE9}">
    <text>this information can be hidden if desired</text>
  </threadedComment>
  <threadedComment ref="E6" dT="2022-11-08T15:00:21.15" personId="{EBF25FBC-20F9-469C-8700-7DF9DF034478}" id="{69C3949A-8620-4CD8-B2F1-D749B8D50236}">
    <text>make sure to add the \ to the end of the folder path names</text>
  </threadedComment>
  <threadedComment ref="E13" dT="2022-11-08T15:00:21.15" personId="{EBF25FBC-20F9-469C-8700-7DF9DF034478}" id="{A69F7D90-C0F1-417C-82AD-0259E2DEE6C3}">
    <text>make sure to add the \ to the end of the folder path names</text>
  </threadedComment>
  <threadedComment ref="E18" dT="2022-11-08T15:00:21.15" personId="{EBF25FBC-20F9-469C-8700-7DF9DF034478}" id="{4E5440D9-E360-4CC5-85E7-0A29701B6FF0}">
    <text>make sure to add the \ to the end of the folder path names</text>
  </threadedComment>
  <threadedComment ref="E24" dT="2022-11-08T15:00:21.15" personId="{EBF25FBC-20F9-469C-8700-7DF9DF034478}" id="{56275EB1-BBD1-4621-ADC7-5133CE1BE8DE}">
    <text>make sure to add the \ to the end of the folder path names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4F5E-EC96-4725-8B36-3766DA9F0C24}">
  <dimension ref="C2:F15"/>
  <sheetViews>
    <sheetView showGridLines="0" workbookViewId="0"/>
  </sheetViews>
  <sheetFormatPr defaultRowHeight="14.5"/>
  <cols>
    <col min="3" max="3" width="12.54296875" customWidth="1"/>
    <col min="4" max="4" width="43.08984375" customWidth="1"/>
    <col min="5" max="5" width="16.1796875" customWidth="1"/>
    <col min="6" max="6" width="40.26953125" customWidth="1"/>
  </cols>
  <sheetData>
    <row r="2" spans="3:6">
      <c r="C2" t="s">
        <v>22</v>
      </c>
      <c r="D2" t="s">
        <v>88</v>
      </c>
      <c r="E2" t="s">
        <v>73</v>
      </c>
      <c r="F2" t="s">
        <v>87</v>
      </c>
    </row>
    <row r="3" spans="3:6" ht="29">
      <c r="C3" t="s">
        <v>70</v>
      </c>
      <c r="D3" t="s">
        <v>71</v>
      </c>
      <c r="E3" s="93" t="s">
        <v>75</v>
      </c>
      <c r="F3" s="93"/>
    </row>
    <row r="4" spans="3:6" ht="43.5">
      <c r="C4" t="s">
        <v>70</v>
      </c>
      <c r="D4" s="93" t="s">
        <v>72</v>
      </c>
      <c r="E4" s="93" t="s">
        <v>74</v>
      </c>
      <c r="F4" s="93"/>
    </row>
    <row r="5" spans="3:6" ht="43.5">
      <c r="C5" t="s">
        <v>70</v>
      </c>
      <c r="D5" t="s">
        <v>76</v>
      </c>
      <c r="E5" s="93" t="s">
        <v>77</v>
      </c>
      <c r="F5" s="93"/>
    </row>
    <row r="6" spans="3:6" ht="43.5">
      <c r="C6" t="s">
        <v>70</v>
      </c>
      <c r="D6" t="s">
        <v>78</v>
      </c>
      <c r="E6" s="93" t="s">
        <v>77</v>
      </c>
      <c r="F6" s="93"/>
    </row>
    <row r="7" spans="3:6">
      <c r="C7" t="s">
        <v>61</v>
      </c>
      <c r="D7" t="s">
        <v>79</v>
      </c>
      <c r="E7" s="93" t="s">
        <v>80</v>
      </c>
      <c r="F7" s="93"/>
    </row>
    <row r="8" spans="3:6">
      <c r="C8" t="s">
        <v>24</v>
      </c>
      <c r="D8" t="s">
        <v>81</v>
      </c>
      <c r="E8" s="93"/>
      <c r="F8" s="93"/>
    </row>
    <row r="9" spans="3:6">
      <c r="C9" t="s">
        <v>24</v>
      </c>
      <c r="D9" t="s">
        <v>82</v>
      </c>
      <c r="E9" s="93"/>
      <c r="F9" s="93"/>
    </row>
    <row r="10" spans="3:6">
      <c r="C10" t="s">
        <v>24</v>
      </c>
      <c r="D10" t="s">
        <v>83</v>
      </c>
      <c r="E10" s="93"/>
      <c r="F10" s="93"/>
    </row>
    <row r="11" spans="3:6">
      <c r="C11" t="s">
        <v>24</v>
      </c>
      <c r="D11" t="s">
        <v>84</v>
      </c>
      <c r="E11" s="93"/>
      <c r="F11" s="93"/>
    </row>
    <row r="12" spans="3:6">
      <c r="C12" t="s">
        <v>85</v>
      </c>
      <c r="D12" t="s">
        <v>86</v>
      </c>
      <c r="E12" s="93"/>
      <c r="F12" s="93"/>
    </row>
    <row r="13" spans="3:6">
      <c r="C13" t="s">
        <v>90</v>
      </c>
      <c r="D13" t="s">
        <v>92</v>
      </c>
      <c r="E13" s="93"/>
      <c r="F13" s="93"/>
    </row>
    <row r="14" spans="3:6">
      <c r="C14" t="s">
        <v>90</v>
      </c>
      <c r="D14" t="s">
        <v>91</v>
      </c>
      <c r="E14" s="93"/>
      <c r="F14" s="93"/>
    </row>
    <row r="15" spans="3:6">
      <c r="C15" t="s">
        <v>90</v>
      </c>
      <c r="D15" t="s">
        <v>89</v>
      </c>
      <c r="E15" s="93"/>
      <c r="F15" s="9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E126-606C-4AE8-A332-3F905EE1E8A9}">
  <sheetPr>
    <tabColor rgb="FF00B050"/>
  </sheetPr>
  <dimension ref="A1:N28"/>
  <sheetViews>
    <sheetView showGridLines="0" showRowColHeaders="0" tabSelected="1" topLeftCell="A2" workbookViewId="0">
      <selection activeCell="D16" sqref="D16"/>
    </sheetView>
  </sheetViews>
  <sheetFormatPr defaultRowHeight="14.5"/>
  <cols>
    <col min="1" max="1" width="9.453125" bestFit="1" customWidth="1"/>
    <col min="2" max="2" width="6.6328125" customWidth="1"/>
    <col min="3" max="3" width="3.453125" customWidth="1"/>
    <col min="4" max="4" width="12.7265625" bestFit="1" customWidth="1"/>
    <col min="5" max="5" width="69.81640625" customWidth="1"/>
    <col min="6" max="6" width="3.453125" customWidth="1"/>
    <col min="7" max="7" width="6.6328125" customWidth="1"/>
    <col min="13" max="13" width="12" customWidth="1"/>
    <col min="14" max="14" width="3.453125" customWidth="1"/>
  </cols>
  <sheetData>
    <row r="1" spans="1:14" ht="23.5">
      <c r="B1" s="1"/>
      <c r="C1" s="100" t="s">
        <v>93</v>
      </c>
      <c r="D1" s="100"/>
      <c r="E1" s="100"/>
      <c r="F1" s="100"/>
      <c r="N1" s="91"/>
    </row>
    <row r="2" spans="1:14">
      <c r="A2" s="41" t="s">
        <v>67</v>
      </c>
      <c r="B2" s="1"/>
      <c r="C2" s="91"/>
      <c r="E2" s="47" t="s">
        <v>10</v>
      </c>
      <c r="F2" s="91"/>
      <c r="N2" s="91"/>
    </row>
    <row r="3" spans="1:14">
      <c r="A3" s="95">
        <v>1</v>
      </c>
      <c r="C3" s="91"/>
      <c r="E3" s="47" t="s">
        <v>9</v>
      </c>
      <c r="F3" s="91"/>
      <c r="N3" s="91"/>
    </row>
    <row r="4" spans="1:14">
      <c r="A4" s="92">
        <v>44873</v>
      </c>
      <c r="C4" s="91"/>
      <c r="D4" s="101" t="s">
        <v>62</v>
      </c>
      <c r="E4" s="101"/>
      <c r="F4" s="91"/>
      <c r="G4" s="101" t="s">
        <v>68</v>
      </c>
      <c r="H4" s="101"/>
      <c r="I4" s="101"/>
      <c r="J4" s="101"/>
      <c r="K4" s="101"/>
      <c r="L4" s="101"/>
      <c r="M4" s="101"/>
      <c r="N4" s="101"/>
    </row>
    <row r="5" spans="1:14">
      <c r="A5" t="s">
        <v>66</v>
      </c>
      <c r="C5" s="91"/>
      <c r="D5" s="41" t="s">
        <v>22</v>
      </c>
      <c r="E5" s="41" t="s">
        <v>23</v>
      </c>
      <c r="F5" s="91"/>
      <c r="N5" s="91"/>
    </row>
    <row r="6" spans="1:14" ht="14.5" customHeight="1">
      <c r="C6" s="91"/>
      <c r="D6" s="41" t="s">
        <v>94</v>
      </c>
      <c r="E6" s="42" t="s">
        <v>97</v>
      </c>
      <c r="F6" s="91"/>
      <c r="G6">
        <v>1</v>
      </c>
      <c r="H6" s="102" t="s">
        <v>63</v>
      </c>
      <c r="I6" s="102"/>
      <c r="J6" s="102"/>
      <c r="K6" s="102"/>
      <c r="L6" s="102"/>
      <c r="M6" s="102"/>
      <c r="N6" s="91"/>
    </row>
    <row r="7" spans="1:14" ht="14.5" customHeight="1">
      <c r="C7" s="91"/>
      <c r="E7" s="41" t="s">
        <v>31</v>
      </c>
      <c r="F7" s="91"/>
      <c r="H7" s="102"/>
      <c r="I7" s="102"/>
      <c r="J7" s="102"/>
      <c r="K7" s="102"/>
      <c r="L7" s="102"/>
      <c r="M7" s="102"/>
      <c r="N7" s="91"/>
    </row>
    <row r="8" spans="1:14">
      <c r="C8" s="91"/>
      <c r="D8" t="s">
        <v>94</v>
      </c>
      <c r="E8" s="42" t="s">
        <v>95</v>
      </c>
      <c r="F8" s="91"/>
      <c r="N8" s="91"/>
    </row>
    <row r="9" spans="1:14">
      <c r="C9" s="91"/>
      <c r="E9" s="42"/>
      <c r="F9" s="91"/>
      <c r="G9">
        <v>2</v>
      </c>
      <c r="H9" t="s">
        <v>64</v>
      </c>
      <c r="N9" s="91"/>
    </row>
    <row r="10" spans="1:14">
      <c r="C10" s="91"/>
      <c r="E10" s="42"/>
      <c r="F10" s="91"/>
      <c r="N10" s="91"/>
    </row>
    <row r="11" spans="1:14">
      <c r="C11" s="91"/>
      <c r="E11" s="42"/>
      <c r="F11" s="91"/>
      <c r="N11" s="91"/>
    </row>
    <row r="12" spans="1:14">
      <c r="C12" s="91"/>
      <c r="F12" s="91"/>
      <c r="N12" s="91"/>
    </row>
    <row r="13" spans="1:14">
      <c r="C13" s="91"/>
      <c r="D13" s="41" t="s">
        <v>98</v>
      </c>
      <c r="E13" s="42" t="s">
        <v>97</v>
      </c>
      <c r="F13" s="91"/>
      <c r="N13" s="91"/>
    </row>
    <row r="14" spans="1:14">
      <c r="C14" s="91"/>
      <c r="E14" s="94" t="s">
        <v>96</v>
      </c>
      <c r="F14" s="91"/>
      <c r="N14" s="91"/>
    </row>
    <row r="15" spans="1:14">
      <c r="C15" s="91"/>
      <c r="E15" s="94"/>
      <c r="F15" s="91"/>
      <c r="N15" s="91"/>
    </row>
    <row r="16" spans="1:14">
      <c r="C16" s="91"/>
      <c r="F16" s="91"/>
      <c r="G16">
        <v>3</v>
      </c>
      <c r="H16" t="s">
        <v>69</v>
      </c>
      <c r="N16" s="91"/>
    </row>
    <row r="17" spans="3:14">
      <c r="C17" s="91"/>
      <c r="F17" s="91"/>
      <c r="N17" s="91"/>
    </row>
    <row r="18" spans="3:14">
      <c r="C18" s="91"/>
      <c r="D18" s="41" t="s">
        <v>99</v>
      </c>
      <c r="E18" s="42" t="s">
        <v>97</v>
      </c>
      <c r="F18" s="91"/>
      <c r="G18">
        <v>4</v>
      </c>
      <c r="H18" t="s">
        <v>65</v>
      </c>
      <c r="N18" s="91"/>
    </row>
    <row r="19" spans="3:14" ht="14.5" customHeight="1">
      <c r="C19" s="91"/>
      <c r="E19" s="41" t="s">
        <v>31</v>
      </c>
      <c r="F19" s="91"/>
      <c r="N19" s="91"/>
    </row>
    <row r="20" spans="3:14">
      <c r="C20" s="91"/>
      <c r="D20" t="s">
        <v>27</v>
      </c>
      <c r="E20" s="42" t="s">
        <v>25</v>
      </c>
      <c r="F20" s="91"/>
      <c r="N20" s="91"/>
    </row>
    <row r="21" spans="3:14">
      <c r="C21" s="91"/>
      <c r="D21" t="s">
        <v>28</v>
      </c>
      <c r="E21" s="42" t="s">
        <v>26</v>
      </c>
      <c r="F21" s="91"/>
      <c r="N21" s="91"/>
    </row>
    <row r="22" spans="3:14">
      <c r="C22" s="91"/>
      <c r="D22" t="s">
        <v>30</v>
      </c>
      <c r="E22" s="42" t="s">
        <v>29</v>
      </c>
      <c r="F22" s="91"/>
      <c r="N22" s="91"/>
    </row>
    <row r="23" spans="3:14">
      <c r="C23" s="91"/>
      <c r="F23" s="91"/>
      <c r="N23" s="91"/>
    </row>
    <row r="24" spans="3:14">
      <c r="C24" s="91"/>
      <c r="D24" s="41" t="s">
        <v>100</v>
      </c>
      <c r="E24" s="42" t="s">
        <v>97</v>
      </c>
      <c r="F24" s="91"/>
      <c r="N24" s="91"/>
    </row>
    <row r="25" spans="3:14">
      <c r="E25" s="41" t="s">
        <v>31</v>
      </c>
    </row>
    <row r="26" spans="3:14">
      <c r="E26" s="42" t="s">
        <v>25</v>
      </c>
    </row>
    <row r="27" spans="3:14">
      <c r="E27" s="42"/>
    </row>
    <row r="28" spans="3:14">
      <c r="E28" s="42"/>
    </row>
  </sheetData>
  <mergeCells count="4">
    <mergeCell ref="C1:F1"/>
    <mergeCell ref="D4:E4"/>
    <mergeCell ref="G4:N4"/>
    <mergeCell ref="H6:M7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5310-069A-4C3B-9C39-E99AF97FEBFA}">
  <sheetPr>
    <tabColor rgb="FFF7C1FB"/>
  </sheetPr>
  <dimension ref="A1:AC27"/>
  <sheetViews>
    <sheetView showGridLines="0" zoomScaleNormal="100" workbookViewId="0"/>
  </sheetViews>
  <sheetFormatPr defaultColWidth="11.54296875" defaultRowHeight="12.5"/>
  <cols>
    <col min="1" max="1" width="10.6328125" style="1" customWidth="1"/>
    <col min="2" max="2" width="10.54296875" style="1" customWidth="1"/>
    <col min="3" max="3" width="7.81640625" style="1" bestFit="1" customWidth="1"/>
    <col min="4" max="4" width="8.36328125" style="1" bestFit="1" customWidth="1"/>
    <col min="5" max="5" width="11.54296875" style="1"/>
    <col min="6" max="6" width="13" style="1" bestFit="1" customWidth="1"/>
    <col min="7" max="7" width="13.90625" style="1" customWidth="1"/>
    <col min="8" max="8" width="10.54296875" style="1" bestFit="1" customWidth="1"/>
    <col min="9" max="9" width="7.81640625" style="1" bestFit="1" customWidth="1"/>
    <col min="10" max="10" width="15.7265625" style="1" customWidth="1"/>
    <col min="11" max="11" width="18.453125" style="1" bestFit="1" customWidth="1"/>
    <col min="12" max="12" width="11.54296875" style="1"/>
    <col min="13" max="13" width="7.1796875" style="1" bestFit="1" customWidth="1"/>
    <col min="14" max="14" width="11.54296875" style="1" bestFit="1" customWidth="1"/>
    <col min="15" max="15" width="10.54296875" style="1" bestFit="1" customWidth="1"/>
    <col min="16" max="16" width="14.90625" style="1" bestFit="1" customWidth="1"/>
    <col min="17" max="17" width="8.6328125" style="1" bestFit="1" customWidth="1"/>
    <col min="18" max="18" width="24.54296875" style="1" customWidth="1"/>
    <col min="19" max="19" width="19.54296875" style="1" bestFit="1" customWidth="1"/>
    <col min="20" max="20" width="19.54296875" style="1" customWidth="1"/>
    <col min="21" max="21" width="23.54296875" style="1" bestFit="1" customWidth="1"/>
    <col min="22" max="23" width="11.54296875" style="1"/>
    <col min="24" max="24" width="14.26953125" style="1" customWidth="1"/>
    <col min="25" max="25" width="11.453125" style="1" customWidth="1"/>
    <col min="26" max="16384" width="11.54296875" style="1"/>
  </cols>
  <sheetData>
    <row r="1" spans="1:29" ht="18">
      <c r="A1" s="1" t="s">
        <v>10</v>
      </c>
      <c r="G1" s="14"/>
      <c r="I1" s="24"/>
      <c r="J1" s="16"/>
      <c r="K1" s="16"/>
      <c r="L1" s="16"/>
      <c r="M1" s="15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9" ht="13">
      <c r="A2" s="1" t="s">
        <v>9</v>
      </c>
      <c r="G2" s="5"/>
      <c r="I2" s="24"/>
      <c r="J2" s="16"/>
      <c r="K2" s="16"/>
      <c r="L2" s="16"/>
      <c r="M2" s="15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9" s="18" customFormat="1" ht="18">
      <c r="A3" s="23" t="s">
        <v>8</v>
      </c>
      <c r="I3" s="22"/>
      <c r="J3" s="21"/>
      <c r="K3" s="21"/>
      <c r="L3" s="21"/>
      <c r="M3" s="20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9" ht="13.5" customHeight="1">
      <c r="A4" s="13" t="s">
        <v>7</v>
      </c>
      <c r="F4" s="13" t="s">
        <v>6</v>
      </c>
      <c r="M4" s="13" t="s">
        <v>5</v>
      </c>
      <c r="N4" s="16"/>
      <c r="O4" s="15"/>
      <c r="P4" s="15"/>
      <c r="Q4" s="15"/>
      <c r="R4" s="15"/>
      <c r="S4" s="15"/>
      <c r="T4" s="15"/>
      <c r="U4" s="3"/>
      <c r="W4" s="13" t="s">
        <v>4</v>
      </c>
      <c r="X4" s="3"/>
    </row>
    <row r="5" spans="1:29" ht="14.9" customHeight="1">
      <c r="M5" s="17"/>
      <c r="N5" s="16"/>
      <c r="O5" s="15"/>
      <c r="P5" s="15"/>
      <c r="Q5" s="15"/>
      <c r="R5" s="15"/>
      <c r="S5" s="15"/>
      <c r="T5" s="15"/>
      <c r="U5" s="3"/>
      <c r="V5" s="3"/>
      <c r="W5" s="3"/>
      <c r="X5" s="3"/>
    </row>
    <row r="6" spans="1:29" ht="11.5" customHeight="1">
      <c r="A6" s="14"/>
      <c r="F6"/>
      <c r="G6"/>
      <c r="H6"/>
      <c r="I6"/>
      <c r="J6"/>
      <c r="K6"/>
      <c r="M6" s="10"/>
      <c r="N6" s="4"/>
      <c r="O6" s="11"/>
      <c r="P6" s="11"/>
      <c r="Q6" s="11"/>
      <c r="R6" s="11"/>
      <c r="S6" s="11"/>
      <c r="T6" s="11"/>
      <c r="U6" s="11"/>
      <c r="V6" s="3"/>
      <c r="W6" s="10"/>
      <c r="X6" s="4"/>
      <c r="Y6" s="11"/>
    </row>
    <row r="7" spans="1:29" ht="26.5" customHeight="1">
      <c r="A7" s="40" t="s">
        <v>101</v>
      </c>
      <c r="B7" s="48" t="s">
        <v>102</v>
      </c>
      <c r="C7" s="40" t="s">
        <v>103</v>
      </c>
      <c r="D7" s="40" t="s">
        <v>104</v>
      </c>
      <c r="F7" s="40" t="s">
        <v>101</v>
      </c>
      <c r="G7" s="40" t="s">
        <v>102</v>
      </c>
      <c r="H7" s="40" t="s">
        <v>103</v>
      </c>
      <c r="I7" s="40" t="s">
        <v>104</v>
      </c>
      <c r="J7" s="43" t="s">
        <v>105</v>
      </c>
      <c r="K7" s="40" t="s">
        <v>106</v>
      </c>
      <c r="M7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6" t="s">
        <v>106</v>
      </c>
      <c r="S7" s="45" t="s">
        <v>107</v>
      </c>
      <c r="T7" s="45" t="s">
        <v>108</v>
      </c>
      <c r="U7" s="3"/>
      <c r="V7" t="s">
        <v>101</v>
      </c>
      <c r="W7" s="37" t="s">
        <v>102</v>
      </c>
      <c r="X7" s="38" t="s">
        <v>103</v>
      </c>
      <c r="Y7" s="38" t="s">
        <v>104</v>
      </c>
      <c r="Z7" s="39" t="s">
        <v>105</v>
      </c>
      <c r="AA7" s="38" t="s">
        <v>106</v>
      </c>
      <c r="AB7" s="38" t="s">
        <v>107</v>
      </c>
      <c r="AC7" s="38" t="s">
        <v>108</v>
      </c>
    </row>
    <row r="8" spans="1:29" ht="15.5">
      <c r="A8" s="49"/>
      <c r="B8" s="50"/>
      <c r="C8" s="51"/>
      <c r="D8" s="52"/>
      <c r="F8" s="99"/>
      <c r="G8" s="47"/>
      <c r="H8" s="3"/>
      <c r="I8" s="99"/>
      <c r="M8"/>
      <c r="N8" s="4"/>
      <c r="O8" s="53"/>
      <c r="P8" s="97"/>
      <c r="Q8" s="53"/>
      <c r="R8" s="11"/>
      <c r="S8" s="11"/>
      <c r="U8" s="3"/>
      <c r="V8"/>
      <c r="W8"/>
      <c r="X8"/>
      <c r="Y8"/>
      <c r="Z8"/>
      <c r="AA8"/>
      <c r="AB8"/>
      <c r="AC8"/>
    </row>
    <row r="9" spans="1:29" ht="14.5">
      <c r="A9" s="12"/>
      <c r="F9" s="99"/>
      <c r="G9" s="47"/>
      <c r="H9" s="3"/>
      <c r="I9" s="99"/>
      <c r="M9"/>
      <c r="N9" s="4"/>
      <c r="O9" s="96"/>
      <c r="P9" s="98"/>
      <c r="Q9" s="96"/>
      <c r="R9" s="11"/>
      <c r="S9" s="11"/>
      <c r="U9" s="3"/>
      <c r="V9"/>
      <c r="W9"/>
      <c r="X9"/>
      <c r="Y9"/>
      <c r="Z9"/>
      <c r="AA9"/>
      <c r="AB9"/>
      <c r="AC9"/>
    </row>
    <row r="10" spans="1:29" ht="14.5">
      <c r="F10" s="99"/>
      <c r="G10" s="47"/>
      <c r="H10" s="3"/>
      <c r="I10" s="99"/>
      <c r="M10"/>
      <c r="N10" s="4"/>
      <c r="O10" s="96"/>
      <c r="P10" s="98"/>
      <c r="Q10" s="96"/>
      <c r="R10" s="11"/>
      <c r="S10" s="11"/>
      <c r="U10" s="3"/>
      <c r="V10" s="10"/>
      <c r="W10" s="4"/>
      <c r="X10" s="11"/>
    </row>
    <row r="11" spans="1:29" ht="14.5">
      <c r="F11" s="99"/>
      <c r="G11" s="47"/>
      <c r="H11" s="3"/>
      <c r="I11" s="99"/>
      <c r="M11"/>
      <c r="N11" s="4"/>
      <c r="O11" s="96"/>
      <c r="P11" s="98"/>
      <c r="Q11" s="96"/>
      <c r="R11" s="11"/>
      <c r="S11" s="11"/>
      <c r="V11" s="3"/>
      <c r="W11" s="10"/>
      <c r="X11" s="4"/>
      <c r="Y11" s="11"/>
    </row>
    <row r="12" spans="1:29" ht="14.5">
      <c r="A12" s="2"/>
      <c r="F12" s="99"/>
      <c r="G12" s="47"/>
      <c r="H12" s="3"/>
      <c r="I12" s="99"/>
      <c r="M12"/>
      <c r="N12" s="4"/>
      <c r="O12" s="96"/>
      <c r="P12" s="98"/>
      <c r="Q12" s="96"/>
      <c r="R12" s="11"/>
      <c r="S12" s="11"/>
      <c r="V12" s="3"/>
      <c r="W12" s="10"/>
      <c r="X12" s="4"/>
      <c r="Y12" s="11"/>
    </row>
    <row r="13" spans="1:29" ht="14.5">
      <c r="A13" s="2"/>
      <c r="B13" s="9"/>
      <c r="F13" s="99"/>
      <c r="G13" s="47"/>
      <c r="H13" s="3"/>
      <c r="I13" s="99"/>
      <c r="M13"/>
      <c r="N13" s="4"/>
      <c r="O13" s="96"/>
      <c r="P13" s="98"/>
      <c r="Q13" s="96"/>
      <c r="R13" s="11"/>
      <c r="S13" s="11"/>
      <c r="V13" s="3"/>
      <c r="W13" s="10"/>
      <c r="X13" s="4"/>
      <c r="Y13" s="11"/>
    </row>
    <row r="14" spans="1:29" ht="14.5">
      <c r="A14" s="2"/>
      <c r="B14" s="9"/>
      <c r="F14" s="99"/>
      <c r="G14" s="47"/>
      <c r="H14" s="3"/>
      <c r="I14" s="99"/>
      <c r="M14"/>
      <c r="N14" s="4"/>
      <c r="O14" s="96"/>
      <c r="P14" s="98"/>
      <c r="Q14" s="96"/>
      <c r="R14" s="11"/>
      <c r="S14" s="11"/>
      <c r="V14" s="3"/>
      <c r="W14" s="5"/>
      <c r="X14" s="4"/>
      <c r="Y14" s="4"/>
    </row>
    <row r="15" spans="1:29" ht="14.5">
      <c r="A15" s="2"/>
      <c r="B15" s="9"/>
      <c r="M15"/>
      <c r="N15" s="4"/>
      <c r="O15" s="96"/>
      <c r="P15" s="98"/>
      <c r="Q15" s="96"/>
      <c r="R15" s="11"/>
      <c r="S15" s="11"/>
      <c r="V15" s="3"/>
    </row>
    <row r="16" spans="1:29" ht="14.5">
      <c r="M16"/>
      <c r="N16" s="4"/>
      <c r="O16" s="96"/>
      <c r="P16" s="98"/>
      <c r="Q16" s="96"/>
      <c r="R16" s="11"/>
      <c r="S16" s="11"/>
      <c r="V16" s="3"/>
    </row>
    <row r="17" spans="1:22" ht="14.5">
      <c r="M17"/>
      <c r="N17" s="4"/>
      <c r="O17" s="96"/>
      <c r="P17" s="98"/>
      <c r="Q17" s="96"/>
      <c r="R17" s="11"/>
      <c r="S17" s="11"/>
      <c r="V17" s="3"/>
    </row>
    <row r="18" spans="1:22" ht="13.5">
      <c r="A18" s="2"/>
      <c r="B18" s="9"/>
      <c r="M18" s="10"/>
      <c r="N18" s="4"/>
      <c r="O18" s="11"/>
      <c r="P18" s="11"/>
      <c r="Q18" s="11"/>
      <c r="R18" s="11"/>
      <c r="S18" s="11"/>
      <c r="T18" s="11"/>
      <c r="V18" s="3"/>
    </row>
    <row r="19" spans="1:22" ht="13.5">
      <c r="A19" s="2"/>
      <c r="B19" s="9"/>
      <c r="M19" s="10"/>
    </row>
    <row r="20" spans="1:22" ht="13.5">
      <c r="A20" s="2"/>
      <c r="B20" s="9"/>
      <c r="M20" s="8"/>
      <c r="N20" s="7"/>
      <c r="O20" s="7"/>
      <c r="P20" s="7"/>
      <c r="Q20" s="7"/>
      <c r="R20" s="7"/>
      <c r="S20" s="7"/>
      <c r="T20" s="7"/>
      <c r="V20" s="3"/>
    </row>
    <row r="21" spans="1:22" ht="11.5" customHeight="1">
      <c r="A21" s="2"/>
      <c r="F21" s="5"/>
      <c r="G21" s="4"/>
      <c r="I21" s="6"/>
      <c r="M21" s="5"/>
      <c r="N21" s="4"/>
      <c r="O21" s="4"/>
      <c r="P21" s="4"/>
      <c r="Q21" s="4"/>
      <c r="R21" s="4"/>
      <c r="S21" s="4"/>
      <c r="T21" s="4"/>
      <c r="V21" s="3"/>
    </row>
    <row r="22" spans="1:22" ht="13.5">
      <c r="A22" s="2"/>
    </row>
    <row r="23" spans="1:22" ht="13.5">
      <c r="A23" s="2"/>
    </row>
    <row r="24" spans="1:22" ht="13.5">
      <c r="A24" s="2"/>
    </row>
    <row r="25" spans="1:22" ht="13.5">
      <c r="A25" s="2"/>
    </row>
    <row r="26" spans="1:22" ht="13.5">
      <c r="A26" s="2"/>
    </row>
    <row r="27" spans="1:22" ht="13.5">
      <c r="A27" s="2"/>
    </row>
  </sheetData>
  <phoneticPr fontId="19" type="noConversion"/>
  <pageMargins left="0.78749999999999998" right="0.78749999999999998" top="1.05277777777778" bottom="1.05277777777778" header="0.78749999999999998" footer="0.78749999999999998"/>
  <pageSetup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BC55-9B35-443E-A41A-3D130950753D}">
  <sheetPr>
    <tabColor rgb="FFFFFF00"/>
  </sheetPr>
  <dimension ref="A1:N28"/>
  <sheetViews>
    <sheetView showGridLines="0" workbookViewId="0">
      <selection activeCell="P12" sqref="P12"/>
    </sheetView>
  </sheetViews>
  <sheetFormatPr defaultRowHeight="12.5"/>
  <cols>
    <col min="1" max="16384" width="8.7265625" style="1"/>
  </cols>
  <sheetData>
    <row r="1" spans="1:14" ht="13">
      <c r="A1" s="1" t="s">
        <v>32</v>
      </c>
      <c r="D1" s="24"/>
      <c r="E1" s="16"/>
      <c r="F1" s="15"/>
      <c r="G1" s="3"/>
      <c r="H1" s="3"/>
      <c r="I1" s="3"/>
      <c r="J1" s="3"/>
      <c r="K1" s="3"/>
      <c r="L1" s="3"/>
    </row>
    <row r="2" spans="1:14" ht="13">
      <c r="A2" s="1" t="s">
        <v>9</v>
      </c>
      <c r="D2" s="24"/>
      <c r="E2" s="16"/>
      <c r="F2" s="15"/>
      <c r="G2" s="3"/>
      <c r="H2" s="3"/>
      <c r="I2" s="3"/>
      <c r="J2" s="3"/>
      <c r="K2" s="3"/>
      <c r="L2" s="3"/>
    </row>
    <row r="3" spans="1:14" s="55" customFormat="1" ht="18">
      <c r="A3" s="54" t="s">
        <v>33</v>
      </c>
      <c r="D3" s="56"/>
      <c r="E3" s="57"/>
      <c r="F3" s="58"/>
      <c r="G3" s="59"/>
      <c r="H3" s="59"/>
      <c r="I3" s="59"/>
      <c r="J3" s="59"/>
      <c r="K3" s="59"/>
      <c r="L3" s="59"/>
    </row>
    <row r="5" spans="1:14" ht="43.5">
      <c r="A5" s="60" t="s">
        <v>34</v>
      </c>
      <c r="B5" s="61" t="s">
        <v>2</v>
      </c>
      <c r="C5" s="62" t="s">
        <v>13</v>
      </c>
      <c r="D5" s="63" t="s">
        <v>35</v>
      </c>
      <c r="E5" s="64" t="s">
        <v>36</v>
      </c>
      <c r="F5" s="65" t="s">
        <v>3</v>
      </c>
      <c r="G5" s="63" t="s">
        <v>1</v>
      </c>
      <c r="H5" s="64" t="s">
        <v>37</v>
      </c>
      <c r="I5" s="64" t="s">
        <v>38</v>
      </c>
      <c r="J5" s="63" t="s">
        <v>39</v>
      </c>
      <c r="K5" s="66" t="s">
        <v>40</v>
      </c>
      <c r="L5" s="67" t="s">
        <v>41</v>
      </c>
      <c r="M5" s="64" t="s">
        <v>42</v>
      </c>
      <c r="N5" s="68" t="s">
        <v>43</v>
      </c>
    </row>
    <row r="6" spans="1:14" ht="14.5">
      <c r="A6" s="69"/>
      <c r="B6" s="70" t="s">
        <v>44</v>
      </c>
      <c r="C6" s="71" t="s">
        <v>12</v>
      </c>
      <c r="D6" s="72">
        <v>44858</v>
      </c>
      <c r="E6" s="73">
        <v>57.5</v>
      </c>
      <c r="F6" s="72">
        <v>44883</v>
      </c>
      <c r="G6" s="74">
        <v>-2</v>
      </c>
      <c r="H6" s="73">
        <v>1.01</v>
      </c>
      <c r="I6" s="75">
        <v>54.4</v>
      </c>
      <c r="J6" s="74">
        <v>-2</v>
      </c>
      <c r="K6" s="76">
        <f t="shared" ref="K6:K15" si="0">-G6*100*H6</f>
        <v>202</v>
      </c>
      <c r="L6" s="77" t="s">
        <v>45</v>
      </c>
      <c r="M6" s="75">
        <v>57.045000000000002</v>
      </c>
      <c r="N6" s="78">
        <f t="shared" ref="N6:N15" si="1">(H6/E6)*365/_xlfn.DAYS(F6,D6)</f>
        <v>0.25645217391304348</v>
      </c>
    </row>
    <row r="7" spans="1:14" ht="14.5">
      <c r="A7" s="69" t="s">
        <v>46</v>
      </c>
      <c r="B7" s="70" t="s">
        <v>47</v>
      </c>
      <c r="C7" s="71" t="s">
        <v>12</v>
      </c>
      <c r="D7" s="72">
        <v>44855</v>
      </c>
      <c r="E7" s="73">
        <v>23</v>
      </c>
      <c r="F7" s="72">
        <v>44883</v>
      </c>
      <c r="G7" s="74">
        <v>-3</v>
      </c>
      <c r="H7" s="73">
        <v>0.65</v>
      </c>
      <c r="I7" s="75">
        <v>20.89</v>
      </c>
      <c r="J7" s="74">
        <f t="shared" ref="J7:J15" si="2">G7</f>
        <v>-3</v>
      </c>
      <c r="K7" s="76">
        <f t="shared" si="0"/>
        <v>195</v>
      </c>
      <c r="L7" s="77" t="s">
        <v>45</v>
      </c>
      <c r="M7" s="75">
        <v>20.66</v>
      </c>
      <c r="N7" s="78">
        <f t="shared" si="1"/>
        <v>0.36840062111801242</v>
      </c>
    </row>
    <row r="8" spans="1:14" ht="14.5">
      <c r="A8" s="69" t="s">
        <v>48</v>
      </c>
      <c r="B8" s="70" t="s">
        <v>49</v>
      </c>
      <c r="C8" s="71" t="s">
        <v>12</v>
      </c>
      <c r="D8" s="72">
        <v>44845</v>
      </c>
      <c r="E8" s="73">
        <v>15</v>
      </c>
      <c r="F8" s="72">
        <v>44883</v>
      </c>
      <c r="G8" s="74">
        <v>-10</v>
      </c>
      <c r="H8" s="73">
        <v>0.25</v>
      </c>
      <c r="I8" s="75">
        <v>14.71</v>
      </c>
      <c r="J8" s="74">
        <f t="shared" si="2"/>
        <v>-10</v>
      </c>
      <c r="K8" s="76">
        <f t="shared" si="0"/>
        <v>250</v>
      </c>
      <c r="L8" s="77" t="s">
        <v>45</v>
      </c>
      <c r="M8" s="75">
        <v>14.8</v>
      </c>
      <c r="N8" s="78">
        <f t="shared" si="1"/>
        <v>0.16008771929824561</v>
      </c>
    </row>
    <row r="9" spans="1:14" ht="14.5">
      <c r="A9" s="69"/>
      <c r="B9" s="70" t="s">
        <v>50</v>
      </c>
      <c r="C9" s="71" t="s">
        <v>12</v>
      </c>
      <c r="D9" s="72">
        <v>44861</v>
      </c>
      <c r="E9" s="73">
        <v>500</v>
      </c>
      <c r="F9" s="72">
        <v>44911</v>
      </c>
      <c r="G9" s="74">
        <v>-1</v>
      </c>
      <c r="H9" s="73">
        <v>10.4</v>
      </c>
      <c r="I9" s="75">
        <v>459.1</v>
      </c>
      <c r="J9" s="74">
        <f t="shared" si="2"/>
        <v>-1</v>
      </c>
      <c r="K9" s="76">
        <f t="shared" si="0"/>
        <v>1040</v>
      </c>
      <c r="L9" s="77" t="s">
        <v>45</v>
      </c>
      <c r="M9" s="75">
        <v>467.83</v>
      </c>
      <c r="N9" s="78">
        <f t="shared" si="1"/>
        <v>0.15184</v>
      </c>
    </row>
    <row r="10" spans="1:14" ht="14.5">
      <c r="A10" s="69"/>
      <c r="B10" s="70" t="s">
        <v>50</v>
      </c>
      <c r="C10" s="71" t="s">
        <v>12</v>
      </c>
      <c r="D10" s="72">
        <v>44839</v>
      </c>
      <c r="E10" s="73">
        <v>470</v>
      </c>
      <c r="F10" s="72">
        <v>44890</v>
      </c>
      <c r="G10" s="74">
        <v>-1</v>
      </c>
      <c r="H10" s="73">
        <v>9.4</v>
      </c>
      <c r="I10" s="75">
        <v>442.7</v>
      </c>
      <c r="J10" s="74">
        <f t="shared" si="2"/>
        <v>-1</v>
      </c>
      <c r="K10" s="76">
        <f t="shared" si="0"/>
        <v>940</v>
      </c>
      <c r="L10" s="77" t="s">
        <v>45</v>
      </c>
      <c r="M10" s="75">
        <v>467.83</v>
      </c>
      <c r="N10" s="78">
        <f t="shared" si="1"/>
        <v>0.14313725490196078</v>
      </c>
    </row>
    <row r="11" spans="1:14" ht="14.5">
      <c r="A11" s="69"/>
      <c r="B11" s="70" t="s">
        <v>50</v>
      </c>
      <c r="C11" s="71" t="s">
        <v>12</v>
      </c>
      <c r="D11" s="72">
        <v>44855</v>
      </c>
      <c r="E11" s="73">
        <v>480</v>
      </c>
      <c r="F11" s="72">
        <v>44890</v>
      </c>
      <c r="G11" s="74">
        <v>-2</v>
      </c>
      <c r="H11" s="73">
        <v>8.3000000000000007</v>
      </c>
      <c r="I11" s="75">
        <v>448.77</v>
      </c>
      <c r="J11" s="74">
        <f t="shared" si="2"/>
        <v>-2</v>
      </c>
      <c r="K11" s="76">
        <f t="shared" si="0"/>
        <v>1660.0000000000002</v>
      </c>
      <c r="L11" s="77" t="s">
        <v>45</v>
      </c>
      <c r="M11" s="75">
        <v>467.83</v>
      </c>
      <c r="N11" s="78">
        <f t="shared" si="1"/>
        <v>0.18032738095238096</v>
      </c>
    </row>
    <row r="12" spans="1:14" ht="14.5">
      <c r="A12" s="69"/>
      <c r="B12" s="70" t="s">
        <v>51</v>
      </c>
      <c r="C12" s="71" t="s">
        <v>12</v>
      </c>
      <c r="D12" s="72">
        <v>44854</v>
      </c>
      <c r="E12" s="73">
        <v>111</v>
      </c>
      <c r="F12" s="72">
        <v>44890</v>
      </c>
      <c r="G12" s="74">
        <v>-1</v>
      </c>
      <c r="H12" s="73">
        <v>4.5</v>
      </c>
      <c r="I12" s="75">
        <v>105.26</v>
      </c>
      <c r="J12" s="74">
        <f t="shared" si="2"/>
        <v>-1</v>
      </c>
      <c r="K12" s="76">
        <f t="shared" si="0"/>
        <v>450</v>
      </c>
      <c r="L12" s="77" t="s">
        <v>45</v>
      </c>
      <c r="M12" s="75">
        <v>108.73</v>
      </c>
      <c r="N12" s="78">
        <f t="shared" si="1"/>
        <v>0.41103603603603606</v>
      </c>
    </row>
    <row r="13" spans="1:14" ht="14.5">
      <c r="A13" s="69"/>
      <c r="B13" s="70" t="s">
        <v>21</v>
      </c>
      <c r="C13" s="71" t="s">
        <v>12</v>
      </c>
      <c r="D13" s="72">
        <v>44859</v>
      </c>
      <c r="E13" s="73">
        <v>180</v>
      </c>
      <c r="F13" s="72">
        <v>44897</v>
      </c>
      <c r="G13" s="74">
        <v>-1</v>
      </c>
      <c r="H13" s="73">
        <v>6.2</v>
      </c>
      <c r="I13" s="75">
        <v>162.84</v>
      </c>
      <c r="J13" s="74">
        <f t="shared" si="2"/>
        <v>-1</v>
      </c>
      <c r="K13" s="76">
        <f t="shared" si="0"/>
        <v>620</v>
      </c>
      <c r="L13" s="77" t="s">
        <v>45</v>
      </c>
      <c r="M13" s="75">
        <v>162.86000000000001</v>
      </c>
      <c r="N13" s="78">
        <f t="shared" si="1"/>
        <v>0.33084795321637428</v>
      </c>
    </row>
    <row r="14" spans="1:14" ht="14.5">
      <c r="A14" s="69" t="s">
        <v>52</v>
      </c>
      <c r="B14" s="70" t="s">
        <v>20</v>
      </c>
      <c r="C14" s="71" t="s">
        <v>12</v>
      </c>
      <c r="D14" s="72">
        <v>44841</v>
      </c>
      <c r="E14" s="73">
        <v>165</v>
      </c>
      <c r="F14" s="72">
        <v>44883</v>
      </c>
      <c r="G14" s="74">
        <v>-2</v>
      </c>
      <c r="H14" s="73">
        <v>3.8</v>
      </c>
      <c r="I14" s="75">
        <v>152.02000000000001</v>
      </c>
      <c r="J14" s="74">
        <f t="shared" si="2"/>
        <v>-2</v>
      </c>
      <c r="K14" s="76">
        <f t="shared" si="0"/>
        <v>760</v>
      </c>
      <c r="L14" s="77" t="s">
        <v>45</v>
      </c>
      <c r="M14" s="75">
        <v>162.28</v>
      </c>
      <c r="N14" s="78">
        <f t="shared" si="1"/>
        <v>0.20014430014430015</v>
      </c>
    </row>
    <row r="15" spans="1:14" ht="14.5">
      <c r="A15" s="69"/>
      <c r="B15" s="70" t="s">
        <v>21</v>
      </c>
      <c r="C15" s="71" t="s">
        <v>12</v>
      </c>
      <c r="D15" s="72">
        <v>44855</v>
      </c>
      <c r="E15" s="73">
        <v>175</v>
      </c>
      <c r="F15" s="72">
        <v>44897</v>
      </c>
      <c r="G15" s="74">
        <v>-1</v>
      </c>
      <c r="H15" s="73">
        <v>4.5</v>
      </c>
      <c r="I15" s="75">
        <v>150.69999999999999</v>
      </c>
      <c r="J15" s="74">
        <f t="shared" si="2"/>
        <v>-1</v>
      </c>
      <c r="K15" s="76">
        <f t="shared" si="0"/>
        <v>450</v>
      </c>
      <c r="L15" s="77" t="s">
        <v>45</v>
      </c>
      <c r="M15" s="75">
        <v>162.86000000000001</v>
      </c>
      <c r="N15" s="78">
        <f t="shared" si="1"/>
        <v>0.22346938775510206</v>
      </c>
    </row>
    <row r="16" spans="1:14" ht="14.5">
      <c r="A16" s="79"/>
      <c r="B16" s="80"/>
      <c r="C16" s="81"/>
      <c r="D16" s="82"/>
      <c r="E16" s="83"/>
      <c r="F16" s="82"/>
      <c r="G16" s="84"/>
      <c r="H16" s="83"/>
      <c r="I16" s="85"/>
      <c r="J16" s="84"/>
      <c r="K16" s="86"/>
      <c r="L16" s="87"/>
      <c r="M16" s="85"/>
      <c r="N16" s="11"/>
    </row>
    <row r="17" spans="1:14" ht="14.5">
      <c r="A17" s="79"/>
      <c r="B17" s="80"/>
      <c r="C17" s="81"/>
      <c r="D17" s="82"/>
      <c r="E17" s="83"/>
      <c r="F17" s="82"/>
      <c r="G17" s="84"/>
      <c r="H17" s="83"/>
      <c r="I17" s="85"/>
      <c r="J17" s="84"/>
      <c r="K17" s="86"/>
      <c r="L17" s="87"/>
      <c r="M17" s="85"/>
      <c r="N17" s="11"/>
    </row>
    <row r="18" spans="1:14" ht="43.5">
      <c r="A18" s="60" t="s">
        <v>53</v>
      </c>
      <c r="B18" s="61" t="s">
        <v>2</v>
      </c>
      <c r="C18" s="62" t="s">
        <v>13</v>
      </c>
      <c r="D18" s="63" t="s">
        <v>35</v>
      </c>
      <c r="E18" s="64" t="s">
        <v>36</v>
      </c>
      <c r="F18" s="65" t="s">
        <v>3</v>
      </c>
      <c r="G18" s="63" t="s">
        <v>1</v>
      </c>
      <c r="H18" s="64" t="s">
        <v>37</v>
      </c>
      <c r="I18" s="64" t="s">
        <v>38</v>
      </c>
      <c r="J18" s="63" t="s">
        <v>39</v>
      </c>
      <c r="K18" s="66" t="s">
        <v>40</v>
      </c>
      <c r="L18" s="67" t="s">
        <v>41</v>
      </c>
      <c r="M18" s="64" t="s">
        <v>42</v>
      </c>
      <c r="N18" s="68" t="s">
        <v>43</v>
      </c>
    </row>
    <row r="19" spans="1:14" ht="14.5">
      <c r="A19" s="69" t="s">
        <v>54</v>
      </c>
      <c r="B19" s="70" t="s">
        <v>0</v>
      </c>
      <c r="C19" s="71" t="s">
        <v>11</v>
      </c>
      <c r="D19" s="72">
        <v>44851</v>
      </c>
      <c r="E19" s="73">
        <v>103</v>
      </c>
      <c r="F19" s="72">
        <v>44876</v>
      </c>
      <c r="G19" s="74">
        <v>-1</v>
      </c>
      <c r="H19" s="73">
        <v>2.82</v>
      </c>
      <c r="I19" s="75">
        <v>113.65</v>
      </c>
      <c r="J19" s="74">
        <f t="shared" ref="J19:J24" si="3">G19</f>
        <v>-1</v>
      </c>
      <c r="K19" s="76">
        <f t="shared" ref="K19:K24" si="4">-G19*100*H19</f>
        <v>282</v>
      </c>
      <c r="L19" s="77" t="s">
        <v>45</v>
      </c>
      <c r="M19" s="75">
        <v>101.595</v>
      </c>
      <c r="N19" s="78">
        <f t="shared" ref="N19:N24" si="5">(H19/E19)*365/_xlfn.DAYS(F19,D19)</f>
        <v>0.39972815533980577</v>
      </c>
    </row>
    <row r="20" spans="1:14" ht="14.5">
      <c r="A20" s="69"/>
      <c r="B20" s="70" t="s">
        <v>47</v>
      </c>
      <c r="C20" s="71" t="s">
        <v>11</v>
      </c>
      <c r="D20" s="72">
        <v>44818</v>
      </c>
      <c r="E20" s="73">
        <v>23</v>
      </c>
      <c r="F20" s="72">
        <v>44883</v>
      </c>
      <c r="G20" s="74">
        <v>-3</v>
      </c>
      <c r="H20" s="73">
        <v>0.8</v>
      </c>
      <c r="I20" s="75">
        <v>25.17</v>
      </c>
      <c r="J20" s="74">
        <f t="shared" si="3"/>
        <v>-3</v>
      </c>
      <c r="K20" s="76">
        <f t="shared" si="4"/>
        <v>240</v>
      </c>
      <c r="L20" s="77" t="s">
        <v>45</v>
      </c>
      <c r="M20" s="75">
        <v>20.66</v>
      </c>
      <c r="N20" s="78">
        <f t="shared" si="5"/>
        <v>0.19531772575250836</v>
      </c>
    </row>
    <row r="21" spans="1:14" ht="14.5">
      <c r="A21" s="69" t="s">
        <v>55</v>
      </c>
      <c r="B21" s="70" t="s">
        <v>50</v>
      </c>
      <c r="C21" s="71" t="s">
        <v>11</v>
      </c>
      <c r="D21" s="72">
        <v>44839</v>
      </c>
      <c r="E21" s="73">
        <v>450</v>
      </c>
      <c r="F21" s="72">
        <v>44869</v>
      </c>
      <c r="G21" s="74">
        <v>-1</v>
      </c>
      <c r="H21" s="73">
        <v>10.8</v>
      </c>
      <c r="I21" s="75">
        <v>473.75</v>
      </c>
      <c r="J21" s="74">
        <f t="shared" si="3"/>
        <v>-1</v>
      </c>
      <c r="K21" s="76">
        <f t="shared" si="4"/>
        <v>1080</v>
      </c>
      <c r="L21" s="77" t="s">
        <v>45</v>
      </c>
      <c r="M21" s="75">
        <v>467.83</v>
      </c>
      <c r="N21" s="78">
        <f t="shared" si="5"/>
        <v>0.29199999999999998</v>
      </c>
    </row>
    <row r="22" spans="1:14" ht="14.5">
      <c r="A22" s="69" t="s">
        <v>56</v>
      </c>
      <c r="B22" s="70" t="s">
        <v>51</v>
      </c>
      <c r="C22" s="71" t="s">
        <v>11</v>
      </c>
      <c r="D22" s="72">
        <v>44852</v>
      </c>
      <c r="E22" s="73">
        <v>93</v>
      </c>
      <c r="F22" s="72">
        <v>44876</v>
      </c>
      <c r="G22" s="74">
        <v>-1</v>
      </c>
      <c r="H22" s="73">
        <v>2.75</v>
      </c>
      <c r="I22" s="75">
        <v>100.81</v>
      </c>
      <c r="J22" s="74">
        <f t="shared" si="3"/>
        <v>-1</v>
      </c>
      <c r="K22" s="76">
        <f t="shared" si="4"/>
        <v>275</v>
      </c>
      <c r="L22" s="77" t="s">
        <v>45</v>
      </c>
      <c r="M22" s="75">
        <v>108.73</v>
      </c>
      <c r="N22" s="78">
        <f t="shared" si="5"/>
        <v>0.44970878136200715</v>
      </c>
    </row>
    <row r="23" spans="1:14" ht="14.5">
      <c r="A23" s="69" t="s">
        <v>57</v>
      </c>
      <c r="B23" s="70" t="s">
        <v>51</v>
      </c>
      <c r="C23" s="71" t="s">
        <v>11</v>
      </c>
      <c r="D23" s="72">
        <v>44844</v>
      </c>
      <c r="E23" s="73">
        <v>96</v>
      </c>
      <c r="F23" s="72">
        <v>44876</v>
      </c>
      <c r="G23" s="74">
        <v>-1</v>
      </c>
      <c r="H23" s="73">
        <v>3.1</v>
      </c>
      <c r="I23" s="75">
        <v>106.54</v>
      </c>
      <c r="J23" s="74">
        <f t="shared" si="3"/>
        <v>-1</v>
      </c>
      <c r="K23" s="76">
        <f t="shared" si="4"/>
        <v>310</v>
      </c>
      <c r="L23" s="77" t="s">
        <v>45</v>
      </c>
      <c r="M23" s="75">
        <v>108.73</v>
      </c>
      <c r="N23" s="78">
        <f t="shared" si="5"/>
        <v>0.36832682291666669</v>
      </c>
    </row>
    <row r="24" spans="1:14" ht="14.5">
      <c r="A24" s="69"/>
      <c r="B24" s="70" t="s">
        <v>58</v>
      </c>
      <c r="C24" s="71" t="s">
        <v>11</v>
      </c>
      <c r="D24" s="72">
        <v>44853</v>
      </c>
      <c r="E24" s="73">
        <v>60</v>
      </c>
      <c r="F24" s="72">
        <v>44911</v>
      </c>
      <c r="G24" s="74">
        <v>-3</v>
      </c>
      <c r="H24" s="73">
        <v>6.7</v>
      </c>
      <c r="I24" s="75">
        <v>57.86</v>
      </c>
      <c r="J24" s="74">
        <f t="shared" si="3"/>
        <v>-3</v>
      </c>
      <c r="K24" s="76">
        <f t="shared" si="4"/>
        <v>2010</v>
      </c>
      <c r="L24" s="77" t="s">
        <v>45</v>
      </c>
      <c r="M24" s="75">
        <v>56.22</v>
      </c>
      <c r="N24" s="78">
        <f t="shared" si="5"/>
        <v>0.70272988505747125</v>
      </c>
    </row>
    <row r="25" spans="1:14">
      <c r="A25" s="88"/>
      <c r="E25" s="89"/>
      <c r="F25" s="5"/>
      <c r="G25" s="47"/>
      <c r="H25" s="90"/>
      <c r="I25" s="89"/>
      <c r="J25" s="47"/>
      <c r="K25" s="7"/>
      <c r="L25" s="47"/>
      <c r="M25" s="89"/>
      <c r="N25" s="89"/>
    </row>
    <row r="26" spans="1:14">
      <c r="A26" s="88"/>
      <c r="E26" s="89"/>
      <c r="F26" s="5"/>
      <c r="G26" s="47"/>
      <c r="H26" s="90"/>
      <c r="I26" s="89"/>
      <c r="J26" s="47"/>
      <c r="K26" s="7"/>
      <c r="L26" s="47"/>
      <c r="M26" s="89"/>
      <c r="N26" s="89"/>
    </row>
    <row r="27" spans="1:14">
      <c r="A27" s="1" t="s">
        <v>59</v>
      </c>
    </row>
    <row r="28" spans="1:14">
      <c r="A28" s="1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E755-BFF1-4C3B-94BF-66D3830B9CAB}">
  <sheetPr>
    <tabColor theme="9" tint="0.59999389629810485"/>
  </sheetPr>
  <dimension ref="A1:X12"/>
  <sheetViews>
    <sheetView showGridLines="0" workbookViewId="0">
      <selection activeCell="A8" sqref="A8"/>
    </sheetView>
  </sheetViews>
  <sheetFormatPr defaultRowHeight="12.5"/>
  <cols>
    <col min="1" max="1" width="13.7265625" style="1" bestFit="1" customWidth="1"/>
    <col min="2" max="2" width="16.453125" style="1" bestFit="1" customWidth="1"/>
    <col min="3" max="3" width="16.6328125" style="1" bestFit="1" customWidth="1"/>
    <col min="4" max="4" width="18.08984375" style="1" bestFit="1" customWidth="1"/>
    <col min="5" max="5" width="16" style="1" bestFit="1" customWidth="1"/>
    <col min="6" max="6" width="25.90625" style="1" bestFit="1" customWidth="1"/>
    <col min="7" max="7" width="10.54296875" style="1" bestFit="1" customWidth="1"/>
    <col min="8" max="8" width="8.7265625" style="1"/>
    <col min="9" max="9" width="13.90625" style="1" bestFit="1" customWidth="1"/>
    <col min="10" max="10" width="16.453125" style="1" bestFit="1" customWidth="1"/>
    <col min="11" max="11" width="16.6328125" style="1" bestFit="1" customWidth="1"/>
    <col min="12" max="12" width="18.08984375" style="1" bestFit="1" customWidth="1"/>
    <col min="13" max="13" width="16" style="1" bestFit="1" customWidth="1"/>
    <col min="14" max="14" width="26.08984375" style="1" bestFit="1" customWidth="1"/>
    <col min="15" max="15" width="16.36328125" style="1" bestFit="1" customWidth="1"/>
    <col min="16" max="16" width="8.7265625" style="1"/>
    <col min="17" max="17" width="7.1796875" style="1" bestFit="1" customWidth="1"/>
    <col min="18" max="18" width="16.453125" style="1" bestFit="1" customWidth="1"/>
    <col min="19" max="19" width="16.6328125" style="1" bestFit="1" customWidth="1"/>
    <col min="20" max="20" width="18.08984375" style="1" bestFit="1" customWidth="1"/>
    <col min="21" max="21" width="16" style="1" bestFit="1" customWidth="1"/>
    <col min="22" max="22" width="19.26953125" style="1" bestFit="1" customWidth="1"/>
    <col min="23" max="23" width="10.54296875" style="1" bestFit="1" customWidth="1"/>
    <col min="24" max="16384" width="8.7265625" style="1"/>
  </cols>
  <sheetData>
    <row r="1" spans="1:24" ht="18">
      <c r="A1" s="1" t="s">
        <v>10</v>
      </c>
      <c r="K1" s="14"/>
      <c r="M1" s="24"/>
      <c r="N1" s="16"/>
      <c r="O1" s="16"/>
      <c r="P1" s="15"/>
      <c r="Q1" s="3"/>
      <c r="R1" s="3"/>
      <c r="S1" s="3"/>
      <c r="T1" s="3"/>
      <c r="U1" s="3"/>
      <c r="V1" s="3"/>
      <c r="W1" s="3"/>
      <c r="X1" s="3"/>
    </row>
    <row r="2" spans="1:24" ht="13">
      <c r="A2" s="1" t="s">
        <v>9</v>
      </c>
      <c r="K2" s="5"/>
      <c r="M2" s="24"/>
      <c r="N2" s="16"/>
      <c r="O2" s="16"/>
      <c r="P2" s="15"/>
      <c r="Q2" s="3"/>
      <c r="R2" s="3"/>
      <c r="S2" s="3"/>
      <c r="T2" s="3"/>
      <c r="U2" s="3"/>
      <c r="V2" s="3"/>
      <c r="W2" s="3"/>
      <c r="X2" s="3"/>
    </row>
    <row r="3" spans="1:24" s="25" customFormat="1" ht="18">
      <c r="A3" s="30" t="s">
        <v>17</v>
      </c>
      <c r="M3" s="29"/>
      <c r="N3" s="28"/>
      <c r="O3" s="28"/>
      <c r="P3" s="27"/>
      <c r="Q3" s="26"/>
      <c r="R3" s="26"/>
      <c r="S3" s="26"/>
      <c r="T3" s="26"/>
      <c r="U3" s="26"/>
      <c r="V3" s="26"/>
      <c r="W3" s="26"/>
      <c r="X3" s="26"/>
    </row>
    <row r="4" spans="1:24" ht="15.5">
      <c r="A4" s="13" t="s">
        <v>16</v>
      </c>
      <c r="I4" s="13" t="s">
        <v>15</v>
      </c>
      <c r="Q4" s="13" t="s">
        <v>14</v>
      </c>
    </row>
    <row r="7" spans="1:24">
      <c r="A7" s="1" t="s">
        <v>101</v>
      </c>
      <c r="B7" s="1" t="s">
        <v>102</v>
      </c>
      <c r="C7" s="1" t="s">
        <v>103</v>
      </c>
      <c r="D7" s="1" t="s">
        <v>104</v>
      </c>
      <c r="E7" s="1" t="s">
        <v>105</v>
      </c>
      <c r="F7" s="1" t="s">
        <v>106</v>
      </c>
      <c r="G7" s="1" t="s">
        <v>107</v>
      </c>
      <c r="I7" s="1" t="s">
        <v>101</v>
      </c>
      <c r="J7" s="1" t="s">
        <v>102</v>
      </c>
      <c r="K7" s="1" t="s">
        <v>103</v>
      </c>
      <c r="L7" s="1" t="s">
        <v>104</v>
      </c>
      <c r="M7" s="1" t="s">
        <v>105</v>
      </c>
      <c r="N7" s="1" t="s">
        <v>106</v>
      </c>
      <c r="O7" s="1" t="s">
        <v>107</v>
      </c>
      <c r="Q7" s="1" t="s">
        <v>101</v>
      </c>
      <c r="R7" s="1" t="s">
        <v>102</v>
      </c>
      <c r="S7" s="1" t="s">
        <v>103</v>
      </c>
      <c r="T7" s="1" t="s">
        <v>104</v>
      </c>
      <c r="U7" s="1" t="s">
        <v>105</v>
      </c>
      <c r="V7" s="1" t="s">
        <v>106</v>
      </c>
      <c r="W7" s="1" t="s">
        <v>107</v>
      </c>
    </row>
    <row r="8" spans="1:24" ht="14.5">
      <c r="B8" s="44"/>
      <c r="C8" s="44"/>
      <c r="D8" s="44"/>
      <c r="E8" s="44"/>
      <c r="F8" s="44"/>
      <c r="J8" s="44"/>
      <c r="K8" s="44"/>
      <c r="L8" s="44"/>
      <c r="M8" s="44"/>
      <c r="N8" s="44"/>
      <c r="R8" s="44"/>
      <c r="S8" s="44"/>
      <c r="T8" s="44"/>
      <c r="U8" s="44"/>
      <c r="V8" s="44"/>
    </row>
    <row r="9" spans="1:24" ht="14.5">
      <c r="B9" s="44"/>
      <c r="C9" s="44"/>
      <c r="D9" s="44"/>
      <c r="E9" s="44"/>
      <c r="F9" s="44"/>
      <c r="J9" s="44"/>
      <c r="K9" s="44"/>
      <c r="L9" s="44"/>
      <c r="M9" s="44"/>
      <c r="N9" s="44"/>
      <c r="R9" s="44"/>
      <c r="S9" s="44"/>
      <c r="T9" s="44"/>
      <c r="U9" s="44"/>
      <c r="V9" s="44"/>
    </row>
    <row r="10" spans="1:24" ht="14.5">
      <c r="B10" s="44"/>
      <c r="C10" s="44"/>
      <c r="D10" s="44"/>
      <c r="E10" s="44"/>
      <c r="F10" s="44"/>
      <c r="J10" s="44"/>
      <c r="K10" s="44"/>
      <c r="L10" s="44"/>
      <c r="M10" s="44"/>
      <c r="N10" s="44"/>
      <c r="R10" s="44"/>
      <c r="S10" s="44"/>
      <c r="T10" s="44"/>
      <c r="U10" s="44"/>
      <c r="V10" s="44"/>
    </row>
    <row r="11" spans="1:24" ht="14.5">
      <c r="B11" s="44"/>
      <c r="C11" s="44"/>
      <c r="D11" s="44"/>
      <c r="E11" s="44"/>
      <c r="F11" s="44"/>
      <c r="J11" s="44"/>
      <c r="K11" s="44"/>
      <c r="L11" s="44"/>
      <c r="M11" s="44"/>
      <c r="N11" s="44"/>
      <c r="R11" s="44"/>
      <c r="S11" s="44"/>
      <c r="T11" s="44"/>
      <c r="U11" s="44"/>
      <c r="V11" s="44"/>
    </row>
    <row r="12" spans="1:24" ht="14.5">
      <c r="J12" s="44"/>
      <c r="K12" s="44"/>
      <c r="L12" s="44"/>
      <c r="M12" s="44"/>
      <c r="N12" s="44"/>
      <c r="R12" s="44"/>
      <c r="S12" s="44"/>
      <c r="T12" s="44"/>
      <c r="U12" s="44"/>
      <c r="V12" s="44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65F7-6E6D-4BD1-BA2C-015B54FFF4D7}">
  <sheetPr>
    <tabColor rgb="FF00B0F0"/>
  </sheetPr>
  <dimension ref="A1:T5"/>
  <sheetViews>
    <sheetView workbookViewId="0">
      <selection activeCell="F12" sqref="F12"/>
    </sheetView>
  </sheetViews>
  <sheetFormatPr defaultRowHeight="12.5"/>
  <cols>
    <col min="1" max="16384" width="8.7265625" style="1"/>
  </cols>
  <sheetData>
    <row r="1" spans="1:20" ht="18">
      <c r="A1" s="1" t="s">
        <v>10</v>
      </c>
      <c r="G1" s="14"/>
      <c r="I1" s="24"/>
      <c r="J1" s="16"/>
      <c r="K1" s="16"/>
      <c r="L1" s="15"/>
      <c r="M1" s="3"/>
      <c r="N1" s="3"/>
      <c r="O1" s="3"/>
      <c r="P1" s="3"/>
      <c r="Q1" s="3"/>
      <c r="R1" s="3"/>
      <c r="S1" s="3"/>
      <c r="T1" s="3"/>
    </row>
    <row r="2" spans="1:20" ht="13">
      <c r="A2" s="1" t="s">
        <v>9</v>
      </c>
      <c r="G2" s="5"/>
      <c r="I2" s="24"/>
      <c r="J2" s="16"/>
      <c r="K2" s="16"/>
      <c r="L2" s="15"/>
      <c r="M2" s="3"/>
      <c r="N2" s="3"/>
      <c r="O2" s="3"/>
      <c r="P2" s="3"/>
      <c r="Q2" s="3"/>
      <c r="R2" s="3"/>
      <c r="S2" s="3"/>
      <c r="T2" s="3"/>
    </row>
    <row r="3" spans="1:20" s="32" customFormat="1" ht="18">
      <c r="A3" s="31" t="s">
        <v>18</v>
      </c>
      <c r="I3" s="33"/>
      <c r="J3" s="34"/>
      <c r="K3" s="34"/>
      <c r="L3" s="35"/>
      <c r="M3" s="36"/>
      <c r="N3" s="36"/>
      <c r="O3" s="36"/>
      <c r="P3" s="36"/>
      <c r="Q3" s="36"/>
      <c r="R3" s="36"/>
      <c r="S3" s="36"/>
      <c r="T3" s="36"/>
    </row>
    <row r="5" spans="1:20">
      <c r="A5" s="1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35C192-4AA3-43D8-AEB0-7FE7CBEBF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Notes</vt:lpstr>
      <vt:lpstr>Dashboard</vt:lpstr>
      <vt:lpstr>Put_STO</vt:lpstr>
      <vt:lpstr>Call_STO</vt:lpstr>
      <vt:lpstr>Put_BTC</vt:lpstr>
      <vt:lpstr>Call_BTC</vt:lpstr>
      <vt:lpstr>At_Risk</vt:lpstr>
      <vt:lpstr>Call_Root</vt:lpstr>
      <vt:lpstr>Calls</vt:lpstr>
      <vt:lpstr>Cash_At_Risk</vt:lpstr>
      <vt:lpstr>CashFlow</vt:lpstr>
      <vt:lpstr>Close_Action</vt:lpstr>
      <vt:lpstr>Expiry_Spread</vt:lpstr>
      <vt:lpstr>OpenTrades</vt:lpstr>
      <vt:lpstr>Option_Type</vt:lpstr>
      <vt:lpstr>Put_Root</vt:lpstr>
      <vt:lpstr>Puts</vt:lpstr>
      <vt:lpstr>Trade_Root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 Barrett</cp:lastModifiedBy>
  <dcterms:created xsi:type="dcterms:W3CDTF">2022-11-08T12:23:03Z</dcterms:created>
  <dcterms:modified xsi:type="dcterms:W3CDTF">2022-12-17T03:09:11Z</dcterms:modified>
</cp:coreProperties>
</file>